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001007\Downloads\"/>
    </mc:Choice>
  </mc:AlternateContent>
  <xr:revisionPtr revIDLastSave="0" documentId="13_ncr:1_{E05D5E00-D45C-4E59-914A-3DEE5732A4AB}" xr6:coauthVersionLast="47" xr6:coauthVersionMax="47" xr10:uidLastSave="{00000000-0000-0000-0000-000000000000}"/>
  <bookViews>
    <workbookView xWindow="-38520" yWindow="-6660" windowWidth="38640" windowHeight="21120" xr2:uid="{00000000-000D-0000-FFFF-FFFF00000000}"/>
  </bookViews>
  <sheets>
    <sheet name="113 12" sheetId="1" r:id="rId1"/>
    <sheet name="11403" sheetId="2" r:id="rId2"/>
    <sheet name="11404" sheetId="3" r:id="rId3"/>
    <sheet name="11405" sheetId="4" r:id="rId4"/>
    <sheet name="11406" sheetId="6" r:id="rId5"/>
    <sheet name="11407" sheetId="7" r:id="rId6"/>
    <sheet name="11408" sheetId="8" r:id="rId7"/>
    <sheet name="11411" sheetId="9" r:id="rId8"/>
    <sheet name="11412" sheetId="10" r:id="rId9"/>
    <sheet name="11501" sheetId="11" r:id="rId10"/>
    <sheet name="11502" sheetId="12" r:id="rId11"/>
    <sheet name="11503" sheetId="1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3" i="8" l="1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2" i="8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2" i="4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2" i="7"/>
  <c r="E33" i="1"/>
  <c r="D33" i="1"/>
</calcChain>
</file>

<file path=xl/sharedStrings.xml><?xml version="1.0" encoding="utf-8"?>
<sst xmlns="http://schemas.openxmlformats.org/spreadsheetml/2006/main" count="1172" uniqueCount="81">
  <si>
    <t>方案代碼</t>
  </si>
  <si>
    <t>方案名稱</t>
  </si>
  <si>
    <t>體系別</t>
  </si>
  <si>
    <t>交易筆數</t>
  </si>
  <si>
    <t>交易金額</t>
  </si>
  <si>
    <t>統計年月</t>
  </si>
  <si>
    <t>資料最後更新日期</t>
  </si>
  <si>
    <t>02</t>
  </si>
  <si>
    <t>北北宜</t>
  </si>
  <si>
    <t>SVC</t>
  </si>
  <si>
    <t>202412</t>
  </si>
  <si>
    <t>2025-01-03 10:04:35</t>
  </si>
  <si>
    <t>03</t>
  </si>
  <si>
    <t>竹竹</t>
  </si>
  <si>
    <t>04</t>
  </si>
  <si>
    <t>桃竹竹</t>
  </si>
  <si>
    <t>05</t>
  </si>
  <si>
    <t>竹竹苗</t>
  </si>
  <si>
    <t>06</t>
  </si>
  <si>
    <t>桃竹竹苗</t>
  </si>
  <si>
    <t>07</t>
  </si>
  <si>
    <t>臺中市區通勤(臺中市民)</t>
  </si>
  <si>
    <t>08</t>
  </si>
  <si>
    <t>中彰投苗城際通勤(臺中市民)</t>
  </si>
  <si>
    <t>0B</t>
  </si>
  <si>
    <t>澎湖縣民公車</t>
  </si>
  <si>
    <t>0C</t>
  </si>
  <si>
    <t>臺中市區通勤(非臺中市民)</t>
  </si>
  <si>
    <t>0D</t>
  </si>
  <si>
    <t>中彰投苗城際通勤(非臺中市民)</t>
  </si>
  <si>
    <t>0F</t>
  </si>
  <si>
    <t>MeNGo高雄通</t>
  </si>
  <si>
    <t>QR</t>
  </si>
  <si>
    <t>10</t>
  </si>
  <si>
    <t>MeNGo臺南通</t>
  </si>
  <si>
    <t>11</t>
  </si>
  <si>
    <t>MeNGo臺南通臺鐵</t>
  </si>
  <si>
    <t>12</t>
  </si>
  <si>
    <t>MeNGo屏東通</t>
  </si>
  <si>
    <t>13</t>
  </si>
  <si>
    <t>MeNGo南高屏</t>
  </si>
  <si>
    <t>14</t>
  </si>
  <si>
    <t>MeNGo屏東通臺鐵</t>
  </si>
  <si>
    <t>15</t>
  </si>
  <si>
    <t>彰化縣內通勤</t>
  </si>
  <si>
    <t>16</t>
  </si>
  <si>
    <t>南投縣內通勤</t>
  </si>
  <si>
    <t>17</t>
  </si>
  <si>
    <t>雲林縣內通勤</t>
  </si>
  <si>
    <t>18</t>
  </si>
  <si>
    <t>嘉義縣市跨城際公共運輸通勤月票</t>
  </si>
  <si>
    <t>1A</t>
  </si>
  <si>
    <t>花蓮市區公車_全區臺鐵</t>
  </si>
  <si>
    <t>1B</t>
  </si>
  <si>
    <t>花蓮全區公路客運_全區臺鐵</t>
  </si>
  <si>
    <t>1C</t>
  </si>
  <si>
    <t>臺東全區公路客運_臺鐵</t>
  </si>
  <si>
    <t>1E</t>
  </si>
  <si>
    <t>宜蘭境內</t>
  </si>
  <si>
    <t>1F</t>
  </si>
  <si>
    <t>基隆市境內</t>
  </si>
  <si>
    <t>20</t>
  </si>
  <si>
    <t>澎湖縣民車船</t>
  </si>
  <si>
    <t>21</t>
  </si>
  <si>
    <t>澎湖公車月票</t>
  </si>
  <si>
    <t>22</t>
  </si>
  <si>
    <t>澎湖車船月票</t>
  </si>
  <si>
    <t>23</t>
  </si>
  <si>
    <t>雲林縣公共運輸定期票399</t>
  </si>
  <si>
    <t>總計</t>
    <phoneticPr fontId="2" type="noConversion"/>
  </si>
  <si>
    <t>2025-04-11 09:59:51</t>
  </si>
  <si>
    <t>2025-04-11 09:59:52</t>
  </si>
  <si>
    <t>2025-04-11 09:59:53</t>
  </si>
  <si>
    <t>2025-04-11 09:59:54</t>
  </si>
  <si>
    <t>每頁小計</t>
  </si>
  <si>
    <t>2025-05-05 09:43:43</t>
  </si>
  <si>
    <t>2025-06-03 09:22:55</t>
  </si>
  <si>
    <t>臺南延伸799月票</t>
  </si>
  <si>
    <t>嘉嘉南999月票</t>
  </si>
  <si>
    <t>嘉義799月票</t>
  </si>
  <si>
    <t>方案代碼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</si>
</sst>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Tahoma"/>
    </font>
    <font>
      <sz val="11"/>
      <name val="PMingLiU"/>
      <family val="1"/>
      <charset val="136"/>
    </font>
    <font>
      <sz val="9"/>
      <name val="細明體"/>
      <family val="3"/>
      <charset val="136"/>
    </font>
    <font>
      <sz val="10"/>
      <name val="Tahoma"/>
      <family val="2"/>
    </font>
    <font>
      <b/>
      <sz val="10"/>
      <color rgb="FFFFFFFF"/>
      <name val="微軟正黑體"/>
      <family val="2"/>
      <charset val="136"/>
    </font>
    <font>
      <sz val="10"/>
      <color rgb="FF333333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b/>
      <sz val="12"/>
      <color rgb="FFFFFFFF"/>
      <name val="微軟正黑體"/>
      <family val="2"/>
      <charset val="136"/>
    </font>
    <font>
      <sz val="12"/>
      <name val="Tahoma"/>
      <family val="2"/>
    </font>
    <font>
      <sz val="12"/>
      <color rgb="FF333333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b/>
      <sz val="11"/>
      <color rgb="FFFFFFFF"/>
      <name val="微軟正黑體"/>
      <family val="2"/>
      <charset val="136"/>
    </font>
    <font>
      <sz val="11"/>
      <color rgb="FF333333"/>
      <name val="微軟正黑體"/>
      <family val="2"/>
      <charset val="136"/>
    </font>
    <font>
      <sz val="11"/>
      <color rgb="FF000000"/>
      <name val="微軟正黑體"/>
      <family val="2"/>
      <charset val="136"/>
    </font>
    <font>
      <sz val="10"/>
      <name val="微軟正黑體"/>
      <family val="2"/>
      <charset val="136"/>
    </font>
    <font>
      <sz val="10"/>
      <color rgb="FF393E46"/>
      <name val="微軟正黑體"/>
      <family val="2"/>
      <charset val="136"/>
    </font>
    <font>
      <sz val="11"/>
      <color rgb="FFFFFFFF"/>
      <name val="微軟正黑體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F476F"/>
        <bgColor indexed="64"/>
      </patternFill>
    </fill>
    <fill>
      <patternFill patternType="solid">
        <fgColor rgb="FFE1E3EF"/>
        <bgColor indexed="64"/>
      </patternFill>
    </fill>
    <fill>
      <patternFill patternType="solid">
        <fgColor rgb="FFE3EFFF"/>
        <bgColor indexed="64"/>
      </patternFill>
    </fill>
    <fill>
      <patternFill patternType="solid">
        <fgColor rgb="FFE7E7E7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ADB5E0"/>
      </right>
      <top/>
      <bottom/>
      <diagonal/>
    </border>
    <border>
      <left style="medium">
        <color rgb="FFADB5E0"/>
      </left>
      <right style="medium">
        <color rgb="FFADB5E0"/>
      </right>
      <top style="medium">
        <color rgb="FFD4D4D4"/>
      </top>
      <bottom style="medium">
        <color rgb="FFADB5E0"/>
      </bottom>
      <diagonal/>
    </border>
    <border>
      <left/>
      <right style="medium">
        <color rgb="FFADB5E0"/>
      </right>
      <top style="medium">
        <color rgb="FFD4D4D4"/>
      </top>
      <bottom style="medium">
        <color rgb="FFADB5E0"/>
      </bottom>
      <diagonal/>
    </border>
    <border>
      <left style="medium">
        <color rgb="FFADB5E0"/>
      </left>
      <right style="medium">
        <color rgb="FFADB5E0"/>
      </right>
      <top/>
      <bottom/>
      <diagonal/>
    </border>
    <border>
      <left style="medium">
        <color rgb="FFADB5E0"/>
      </left>
      <right style="medium">
        <color rgb="FFD4D4D4"/>
      </right>
      <top/>
      <bottom style="medium">
        <color rgb="FFADB5E0"/>
      </bottom>
      <diagonal/>
    </border>
    <border>
      <left/>
      <right style="medium">
        <color rgb="FFD4D4D4"/>
      </right>
      <top/>
      <bottom style="medium">
        <color rgb="FFADB5E0"/>
      </bottom>
      <diagonal/>
    </border>
    <border>
      <left style="medium">
        <color rgb="FFADB5E0"/>
      </left>
      <right style="medium">
        <color rgb="FFADB5E0"/>
      </right>
      <top style="medium">
        <color rgb="FFD4D4D4"/>
      </top>
      <bottom/>
      <diagonal/>
    </border>
    <border>
      <left/>
      <right style="medium">
        <color rgb="FFADB5E0"/>
      </right>
      <top style="medium">
        <color rgb="FFD4D4D4"/>
      </top>
      <bottom/>
      <diagonal/>
    </border>
    <border>
      <left/>
      <right style="medium">
        <color rgb="FFFFFFFF"/>
      </right>
      <top/>
      <bottom style="medium">
        <color rgb="FFFFFFFF"/>
      </bottom>
      <diagonal/>
    </border>
  </borders>
  <cellStyleXfs count="8">
    <xf numFmtId="0" fontId="0" fillId="0" borderId="0"/>
    <xf numFmtId="49" fontId="1" fillId="0" borderId="0"/>
    <xf numFmtId="49" fontId="1" fillId="0" borderId="0"/>
    <xf numFmtId="49" fontId="1" fillId="0" borderId="0"/>
    <xf numFmtId="0" fontId="1" fillId="0" borderId="0"/>
    <xf numFmtId="0" fontId="1" fillId="0" borderId="0"/>
    <xf numFmtId="49" fontId="1" fillId="0" borderId="0"/>
    <xf numFmtId="49" fontId="1" fillId="0" borderId="0"/>
  </cellStyleXfs>
  <cellXfs count="57">
    <xf numFmtId="0" fontId="0" fillId="0" borderId="0" xfId="0"/>
    <xf numFmtId="49" fontId="1" fillId="0" borderId="0" xfId="1" applyNumberFormat="1" applyFont="1"/>
    <xf numFmtId="49" fontId="1" fillId="0" borderId="0" xfId="2" applyNumberFormat="1" applyFont="1"/>
    <xf numFmtId="49" fontId="1" fillId="0" borderId="0" xfId="3" applyNumberFormat="1" applyFont="1"/>
    <xf numFmtId="0" fontId="1" fillId="0" borderId="0" xfId="4" applyFont="1"/>
    <xf numFmtId="0" fontId="1" fillId="0" borderId="0" xfId="5" applyFont="1"/>
    <xf numFmtId="49" fontId="1" fillId="0" borderId="0" xfId="6" applyNumberFormat="1" applyFont="1"/>
    <xf numFmtId="49" fontId="1" fillId="0" borderId="0" xfId="7" applyNumberFormat="1" applyFont="1"/>
    <xf numFmtId="49" fontId="1" fillId="2" borderId="0" xfId="1" applyNumberFormat="1" applyFont="1" applyFill="1"/>
    <xf numFmtId="49" fontId="1" fillId="2" borderId="0" xfId="2" applyNumberFormat="1" applyFont="1" applyFill="1"/>
    <xf numFmtId="49" fontId="1" fillId="2" borderId="0" xfId="3" applyNumberFormat="1" applyFont="1" applyFill="1"/>
    <xf numFmtId="0" fontId="1" fillId="2" borderId="0" xfId="4" applyFont="1" applyFill="1"/>
    <xf numFmtId="0" fontId="1" fillId="2" borderId="0" xfId="5" applyFont="1" applyFill="1"/>
    <xf numFmtId="0" fontId="4" fillId="4" borderId="2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3" fillId="0" borderId="0" xfId="0" applyFont="1"/>
    <xf numFmtId="0" fontId="5" fillId="5" borderId="4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6" fillId="6" borderId="5" xfId="0" applyFont="1" applyFill="1" applyBorder="1" applyAlignment="1">
      <alignment vertical="center"/>
    </xf>
    <xf numFmtId="0" fontId="6" fillId="6" borderId="6" xfId="0" applyFont="1" applyFill="1" applyBorder="1" applyAlignment="1">
      <alignment vertical="center"/>
    </xf>
    <xf numFmtId="0" fontId="7" fillId="4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vertical="center"/>
    </xf>
    <xf numFmtId="0" fontId="8" fillId="0" borderId="0" xfId="0" applyFont="1"/>
    <xf numFmtId="0" fontId="9" fillId="5" borderId="7" xfId="0" applyFont="1" applyFill="1" applyBorder="1" applyAlignment="1">
      <alignment vertical="center"/>
    </xf>
    <xf numFmtId="0" fontId="9" fillId="5" borderId="8" xfId="0" applyFont="1" applyFill="1" applyBorder="1" applyAlignment="1">
      <alignment vertical="center"/>
    </xf>
    <xf numFmtId="0" fontId="9" fillId="3" borderId="4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5" borderId="4" xfId="0" applyFont="1" applyFill="1" applyBorder="1" applyAlignment="1">
      <alignment vertical="center"/>
    </xf>
    <xf numFmtId="0" fontId="9" fillId="5" borderId="1" xfId="0" applyFont="1" applyFill="1" applyBorder="1" applyAlignment="1">
      <alignment vertical="center"/>
    </xf>
    <xf numFmtId="0" fontId="10" fillId="6" borderId="5" xfId="0" applyFont="1" applyFill="1" applyBorder="1" applyAlignment="1">
      <alignment vertical="center"/>
    </xf>
    <xf numFmtId="0" fontId="10" fillId="6" borderId="6" xfId="0" applyFont="1" applyFill="1" applyBorder="1" applyAlignment="1">
      <alignment vertical="center"/>
    </xf>
    <xf numFmtId="0" fontId="11" fillId="4" borderId="2" xfId="0" applyFont="1" applyFill="1" applyBorder="1" applyAlignment="1">
      <alignment vertical="center"/>
    </xf>
    <xf numFmtId="0" fontId="11" fillId="4" borderId="3" xfId="0" applyFont="1" applyFill="1" applyBorder="1" applyAlignment="1">
      <alignment vertical="center"/>
    </xf>
    <xf numFmtId="0" fontId="12" fillId="5" borderId="7" xfId="0" applyFont="1" applyFill="1" applyBorder="1" applyAlignment="1">
      <alignment vertical="center"/>
    </xf>
    <xf numFmtId="0" fontId="12" fillId="5" borderId="8" xfId="0" applyFont="1" applyFill="1" applyBorder="1" applyAlignment="1">
      <alignment vertical="center"/>
    </xf>
    <xf numFmtId="0" fontId="12" fillId="3" borderId="4" xfId="0" applyFont="1" applyFill="1" applyBorder="1" applyAlignment="1">
      <alignment vertical="center"/>
    </xf>
    <xf numFmtId="0" fontId="12" fillId="3" borderId="1" xfId="0" applyFont="1" applyFill="1" applyBorder="1" applyAlignment="1">
      <alignment vertical="center"/>
    </xf>
    <xf numFmtId="0" fontId="12" fillId="5" borderId="4" xfId="0" applyFont="1" applyFill="1" applyBorder="1" applyAlignment="1">
      <alignment vertical="center"/>
    </xf>
    <xf numFmtId="0" fontId="12" fillId="5" borderId="1" xfId="0" applyFont="1" applyFill="1" applyBorder="1" applyAlignment="1">
      <alignment vertical="center"/>
    </xf>
    <xf numFmtId="0" fontId="13" fillId="6" borderId="5" xfId="0" applyFont="1" applyFill="1" applyBorder="1" applyAlignment="1">
      <alignment vertical="center"/>
    </xf>
    <xf numFmtId="0" fontId="13" fillId="6" borderId="6" xfId="0" applyFont="1" applyFill="1" applyBorder="1" applyAlignment="1">
      <alignment vertical="center"/>
    </xf>
    <xf numFmtId="0" fontId="5" fillId="5" borderId="7" xfId="0" applyFont="1" applyFill="1" applyBorder="1" applyAlignment="1">
      <alignment vertical="center"/>
    </xf>
    <xf numFmtId="0" fontId="5" fillId="5" borderId="8" xfId="0" applyFont="1" applyFill="1" applyBorder="1" applyAlignment="1">
      <alignment vertical="center"/>
    </xf>
    <xf numFmtId="0" fontId="14" fillId="6" borderId="5" xfId="0" applyFont="1" applyFill="1" applyBorder="1" applyAlignment="1">
      <alignment vertical="center"/>
    </xf>
    <xf numFmtId="0" fontId="14" fillId="6" borderId="6" xfId="0" applyFont="1" applyFill="1" applyBorder="1" applyAlignment="1">
      <alignment vertical="center"/>
    </xf>
    <xf numFmtId="0" fontId="15" fillId="3" borderId="9" xfId="0" applyFont="1" applyFill="1" applyBorder="1" applyAlignment="1">
      <alignment vertical="center" wrapText="1"/>
    </xf>
    <xf numFmtId="0" fontId="15" fillId="3" borderId="9" xfId="0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ill="1"/>
    <xf numFmtId="0" fontId="15" fillId="7" borderId="9" xfId="0" applyFont="1" applyFill="1" applyBorder="1" applyAlignment="1">
      <alignment vertical="center" wrapText="1"/>
    </xf>
    <xf numFmtId="0" fontId="15" fillId="7" borderId="9" xfId="0" applyFont="1" applyFill="1" applyBorder="1" applyAlignment="1">
      <alignment horizontal="left" vertical="center" wrapText="1"/>
    </xf>
    <xf numFmtId="0" fontId="15" fillId="7" borderId="9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vertical="center"/>
    </xf>
  </cellXfs>
  <cellStyles count="8">
    <cellStyle name="Style0" xfId="1" xr:uid="{00000000-0005-0000-0000-000006000000}"/>
    <cellStyle name="Style1" xfId="2" xr:uid="{00000000-0005-0000-0000-000007000000}"/>
    <cellStyle name="Style2" xfId="3" xr:uid="{00000000-0005-0000-0000-000008000000}"/>
    <cellStyle name="Style3" xfId="4" xr:uid="{00000000-0005-0000-0000-000009000000}"/>
    <cellStyle name="Style4" xfId="5" xr:uid="{00000000-0005-0000-0000-00000A000000}"/>
    <cellStyle name="Style5" xfId="6" xr:uid="{00000000-0005-0000-0000-00000B000000}"/>
    <cellStyle name="Style6" xfId="7" xr:uid="{00000000-0005-0000-0000-00000C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selection activeCell="D48" sqref="D48"/>
    </sheetView>
  </sheetViews>
  <sheetFormatPr defaultColWidth="8.7265625" defaultRowHeight="14.5"/>
  <cols>
    <col min="1" max="1" width="10.7265625" style="1" customWidth="1"/>
    <col min="2" max="2" width="10.7265625" style="2" customWidth="1"/>
    <col min="3" max="3" width="8.54296875" style="3" customWidth="1"/>
    <col min="4" max="4" width="10.7265625" style="4" customWidth="1"/>
    <col min="5" max="5" width="10.7265625" style="5" customWidth="1"/>
    <col min="6" max="6" width="10.7265625" style="6" customWidth="1"/>
    <col min="7" max="7" width="19.453125" style="7" customWidth="1"/>
  </cols>
  <sheetData>
    <row r="1" spans="1:7">
      <c r="A1" s="1" t="s">
        <v>80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 spans="1:7">
      <c r="A2" s="1" t="s">
        <v>7</v>
      </c>
      <c r="B2" s="2" t="s">
        <v>8</v>
      </c>
      <c r="C2" s="3" t="s">
        <v>9</v>
      </c>
      <c r="D2" s="4">
        <v>27929</v>
      </c>
      <c r="E2" s="5">
        <v>3581411</v>
      </c>
      <c r="F2" s="6" t="s">
        <v>10</v>
      </c>
      <c r="G2" s="7" t="s">
        <v>11</v>
      </c>
    </row>
    <row r="3" spans="1:7">
      <c r="A3" s="1" t="s">
        <v>12</v>
      </c>
      <c r="B3" s="2" t="s">
        <v>13</v>
      </c>
      <c r="C3" s="3" t="s">
        <v>9</v>
      </c>
      <c r="D3" s="4">
        <v>120683</v>
      </c>
      <c r="E3" s="5">
        <v>2193940</v>
      </c>
      <c r="F3" s="6" t="s">
        <v>10</v>
      </c>
      <c r="G3" s="7" t="s">
        <v>11</v>
      </c>
    </row>
    <row r="4" spans="1:7">
      <c r="A4" s="1" t="s">
        <v>14</v>
      </c>
      <c r="B4" s="2" t="s">
        <v>15</v>
      </c>
      <c r="C4" s="3" t="s">
        <v>9</v>
      </c>
      <c r="D4" s="4">
        <v>51055</v>
      </c>
      <c r="E4" s="5">
        <v>1917037</v>
      </c>
      <c r="F4" s="6" t="s">
        <v>10</v>
      </c>
      <c r="G4" s="7" t="s">
        <v>11</v>
      </c>
    </row>
    <row r="5" spans="1:7">
      <c r="A5" s="1" t="s">
        <v>16</v>
      </c>
      <c r="B5" s="2" t="s">
        <v>17</v>
      </c>
      <c r="C5" s="3" t="s">
        <v>9</v>
      </c>
      <c r="D5" s="4">
        <v>88143</v>
      </c>
      <c r="E5" s="5">
        <v>2542748</v>
      </c>
      <c r="F5" s="6" t="s">
        <v>10</v>
      </c>
      <c r="G5" s="7" t="s">
        <v>11</v>
      </c>
    </row>
    <row r="6" spans="1:7">
      <c r="A6" s="1" t="s">
        <v>18</v>
      </c>
      <c r="B6" s="2" t="s">
        <v>19</v>
      </c>
      <c r="C6" s="3" t="s">
        <v>9</v>
      </c>
      <c r="D6" s="4">
        <v>3592</v>
      </c>
      <c r="E6" s="5">
        <v>209490</v>
      </c>
      <c r="F6" s="6" t="s">
        <v>10</v>
      </c>
      <c r="G6" s="7" t="s">
        <v>11</v>
      </c>
    </row>
    <row r="7" spans="1:7">
      <c r="A7" s="1" t="s">
        <v>20</v>
      </c>
      <c r="B7" s="2" t="s">
        <v>21</v>
      </c>
      <c r="C7" s="3" t="s">
        <v>9</v>
      </c>
      <c r="D7" s="4">
        <v>105676</v>
      </c>
      <c r="E7" s="5">
        <v>2518445</v>
      </c>
      <c r="F7" s="6" t="s">
        <v>10</v>
      </c>
      <c r="G7" s="7" t="s">
        <v>11</v>
      </c>
    </row>
    <row r="8" spans="1:7">
      <c r="A8" s="1" t="s">
        <v>22</v>
      </c>
      <c r="B8" s="2" t="s">
        <v>23</v>
      </c>
      <c r="C8" s="3" t="s">
        <v>9</v>
      </c>
      <c r="D8" s="4">
        <v>35573</v>
      </c>
      <c r="E8" s="5">
        <v>1300910</v>
      </c>
      <c r="F8" s="6" t="s">
        <v>10</v>
      </c>
      <c r="G8" s="7" t="s">
        <v>11</v>
      </c>
    </row>
    <row r="9" spans="1:7">
      <c r="A9" s="1" t="s">
        <v>24</v>
      </c>
      <c r="B9" s="2" t="s">
        <v>25</v>
      </c>
      <c r="C9" s="3" t="s">
        <v>9</v>
      </c>
      <c r="D9" s="4">
        <v>20344</v>
      </c>
      <c r="E9" s="5">
        <v>595191</v>
      </c>
      <c r="F9" s="6" t="s">
        <v>10</v>
      </c>
      <c r="G9" s="7" t="s">
        <v>11</v>
      </c>
    </row>
    <row r="10" spans="1:7">
      <c r="A10" s="1" t="s">
        <v>26</v>
      </c>
      <c r="B10" s="2" t="s">
        <v>27</v>
      </c>
      <c r="C10" s="3" t="s">
        <v>9</v>
      </c>
      <c r="D10" s="4">
        <v>9947</v>
      </c>
      <c r="E10" s="5">
        <v>228383</v>
      </c>
      <c r="F10" s="6" t="s">
        <v>10</v>
      </c>
      <c r="G10" s="7" t="s">
        <v>11</v>
      </c>
    </row>
    <row r="11" spans="1:7">
      <c r="A11" s="1" t="s">
        <v>28</v>
      </c>
      <c r="B11" s="2" t="s">
        <v>29</v>
      </c>
      <c r="C11" s="3" t="s">
        <v>9</v>
      </c>
      <c r="D11" s="4">
        <v>36963</v>
      </c>
      <c r="E11" s="5">
        <v>1368821</v>
      </c>
      <c r="F11" s="6" t="s">
        <v>10</v>
      </c>
      <c r="G11" s="7" t="s">
        <v>11</v>
      </c>
    </row>
    <row r="12" spans="1:7">
      <c r="A12" s="1" t="s">
        <v>30</v>
      </c>
      <c r="B12" s="2" t="s">
        <v>31</v>
      </c>
      <c r="C12" s="3" t="s">
        <v>32</v>
      </c>
      <c r="D12" s="4">
        <v>1143536</v>
      </c>
      <c r="E12" s="5">
        <v>27286197</v>
      </c>
      <c r="F12" s="6" t="s">
        <v>10</v>
      </c>
      <c r="G12" s="7" t="s">
        <v>11</v>
      </c>
    </row>
    <row r="13" spans="1:7">
      <c r="A13" s="1" t="s">
        <v>30</v>
      </c>
      <c r="B13" s="2" t="s">
        <v>31</v>
      </c>
      <c r="C13" s="3" t="s">
        <v>9</v>
      </c>
      <c r="D13" s="4">
        <v>2998076</v>
      </c>
      <c r="E13" s="5">
        <v>74593726</v>
      </c>
      <c r="F13" s="6" t="s">
        <v>10</v>
      </c>
      <c r="G13" s="7" t="s">
        <v>11</v>
      </c>
    </row>
    <row r="14" spans="1:7">
      <c r="A14" s="1" t="s">
        <v>33</v>
      </c>
      <c r="B14" s="2" t="s">
        <v>34</v>
      </c>
      <c r="C14" s="3" t="s">
        <v>9</v>
      </c>
      <c r="D14" s="4">
        <v>149034</v>
      </c>
      <c r="E14" s="5">
        <v>4841433</v>
      </c>
      <c r="F14" s="6" t="s">
        <v>10</v>
      </c>
      <c r="G14" s="7" t="s">
        <v>11</v>
      </c>
    </row>
    <row r="15" spans="1:7">
      <c r="A15" s="1" t="s">
        <v>35</v>
      </c>
      <c r="B15" s="2" t="s">
        <v>36</v>
      </c>
      <c r="C15" s="3" t="s">
        <v>9</v>
      </c>
      <c r="D15" s="4">
        <v>412470</v>
      </c>
      <c r="E15" s="5">
        <v>10408450</v>
      </c>
      <c r="F15" s="6" t="s">
        <v>10</v>
      </c>
      <c r="G15" s="7" t="s">
        <v>11</v>
      </c>
    </row>
    <row r="16" spans="1:7">
      <c r="A16" s="1" t="s">
        <v>37</v>
      </c>
      <c r="B16" s="2" t="s">
        <v>38</v>
      </c>
      <c r="C16" s="3" t="s">
        <v>9</v>
      </c>
      <c r="D16" s="4">
        <v>127302</v>
      </c>
      <c r="E16" s="5">
        <v>4602695</v>
      </c>
      <c r="F16" s="6" t="s">
        <v>10</v>
      </c>
      <c r="G16" s="7" t="s">
        <v>11</v>
      </c>
    </row>
    <row r="17" spans="1:7">
      <c r="A17" s="1" t="s">
        <v>39</v>
      </c>
      <c r="B17" s="2" t="s">
        <v>40</v>
      </c>
      <c r="C17" s="3" t="s">
        <v>32</v>
      </c>
      <c r="D17" s="4">
        <v>0</v>
      </c>
      <c r="E17" s="5">
        <v>0</v>
      </c>
      <c r="F17" s="6" t="s">
        <v>10</v>
      </c>
      <c r="G17" s="7" t="s">
        <v>11</v>
      </c>
    </row>
    <row r="18" spans="1:7">
      <c r="A18" s="1" t="s">
        <v>39</v>
      </c>
      <c r="B18" s="2" t="s">
        <v>40</v>
      </c>
      <c r="C18" s="3" t="s">
        <v>9</v>
      </c>
      <c r="D18" s="4">
        <v>828102</v>
      </c>
      <c r="E18" s="5">
        <v>28683082</v>
      </c>
      <c r="F18" s="6" t="s">
        <v>10</v>
      </c>
      <c r="G18" s="7" t="s">
        <v>11</v>
      </c>
    </row>
    <row r="19" spans="1:7">
      <c r="A19" s="1" t="s">
        <v>41</v>
      </c>
      <c r="B19" s="2" t="s">
        <v>42</v>
      </c>
      <c r="C19" s="3" t="s">
        <v>9</v>
      </c>
      <c r="D19" s="4">
        <v>96736</v>
      </c>
      <c r="E19" s="5">
        <v>2482965</v>
      </c>
      <c r="F19" s="6" t="s">
        <v>10</v>
      </c>
      <c r="G19" s="7" t="s">
        <v>11</v>
      </c>
    </row>
    <row r="20" spans="1:7">
      <c r="A20" s="1" t="s">
        <v>43</v>
      </c>
      <c r="B20" s="2" t="s">
        <v>44</v>
      </c>
      <c r="C20" s="3" t="s">
        <v>9</v>
      </c>
      <c r="D20" s="4">
        <v>114730</v>
      </c>
      <c r="E20" s="5">
        <v>3086931</v>
      </c>
      <c r="F20" s="6" t="s">
        <v>10</v>
      </c>
      <c r="G20" s="7" t="s">
        <v>11</v>
      </c>
    </row>
    <row r="21" spans="1:7">
      <c r="A21" s="1" t="s">
        <v>45</v>
      </c>
      <c r="B21" s="2" t="s">
        <v>46</v>
      </c>
      <c r="C21" s="3" t="s">
        <v>9</v>
      </c>
      <c r="D21" s="4">
        <v>5539</v>
      </c>
      <c r="E21" s="5">
        <v>265299</v>
      </c>
      <c r="F21" s="6" t="s">
        <v>10</v>
      </c>
      <c r="G21" s="7" t="s">
        <v>11</v>
      </c>
    </row>
    <row r="22" spans="1:7">
      <c r="A22" s="1" t="s">
        <v>47</v>
      </c>
      <c r="B22" s="2" t="s">
        <v>48</v>
      </c>
      <c r="C22" s="3" t="s">
        <v>9</v>
      </c>
      <c r="D22" s="4">
        <v>9150</v>
      </c>
      <c r="E22" s="5">
        <v>299204</v>
      </c>
      <c r="F22" s="6" t="s">
        <v>10</v>
      </c>
      <c r="G22" s="7" t="s">
        <v>11</v>
      </c>
    </row>
    <row r="23" spans="1:7">
      <c r="A23" s="1" t="s">
        <v>49</v>
      </c>
      <c r="B23" s="2" t="s">
        <v>50</v>
      </c>
      <c r="C23" s="3" t="s">
        <v>9</v>
      </c>
      <c r="D23" s="4">
        <v>48241</v>
      </c>
      <c r="E23" s="5">
        <v>1401289</v>
      </c>
      <c r="F23" s="6" t="s">
        <v>10</v>
      </c>
      <c r="G23" s="7" t="s">
        <v>11</v>
      </c>
    </row>
    <row r="24" spans="1:7">
      <c r="A24" s="1" t="s">
        <v>51</v>
      </c>
      <c r="B24" s="2" t="s">
        <v>52</v>
      </c>
      <c r="C24" s="3" t="s">
        <v>9</v>
      </c>
      <c r="D24" s="4">
        <v>10536</v>
      </c>
      <c r="E24" s="5">
        <v>491841</v>
      </c>
      <c r="F24" s="6" t="s">
        <v>10</v>
      </c>
      <c r="G24" s="7" t="s">
        <v>11</v>
      </c>
    </row>
    <row r="25" spans="1:7">
      <c r="A25" s="1" t="s">
        <v>53</v>
      </c>
      <c r="B25" s="2" t="s">
        <v>54</v>
      </c>
      <c r="C25" s="3" t="s">
        <v>9</v>
      </c>
      <c r="D25" s="4">
        <v>2017</v>
      </c>
      <c r="E25" s="5">
        <v>109800</v>
      </c>
      <c r="F25" s="6" t="s">
        <v>10</v>
      </c>
      <c r="G25" s="7" t="s">
        <v>11</v>
      </c>
    </row>
    <row r="26" spans="1:7">
      <c r="A26" s="1" t="s">
        <v>55</v>
      </c>
      <c r="B26" s="2" t="s">
        <v>56</v>
      </c>
      <c r="C26" s="3" t="s">
        <v>9</v>
      </c>
      <c r="D26" s="4">
        <v>14536</v>
      </c>
      <c r="E26" s="5">
        <v>728772</v>
      </c>
      <c r="F26" s="6" t="s">
        <v>10</v>
      </c>
      <c r="G26" s="7" t="s">
        <v>11</v>
      </c>
    </row>
    <row r="27" spans="1:7">
      <c r="A27" s="1" t="s">
        <v>57</v>
      </c>
      <c r="B27" s="2" t="s">
        <v>58</v>
      </c>
      <c r="C27" s="3" t="s">
        <v>9</v>
      </c>
      <c r="D27" s="4">
        <v>10658</v>
      </c>
      <c r="E27" s="5">
        <v>302769</v>
      </c>
      <c r="F27" s="6" t="s">
        <v>10</v>
      </c>
      <c r="G27" s="7" t="s">
        <v>11</v>
      </c>
    </row>
    <row r="28" spans="1:7">
      <c r="A28" s="1" t="s">
        <v>59</v>
      </c>
      <c r="B28" s="2" t="s">
        <v>60</v>
      </c>
      <c r="C28" s="3" t="s">
        <v>9</v>
      </c>
      <c r="D28" s="4">
        <v>20935</v>
      </c>
      <c r="E28" s="5">
        <v>319076</v>
      </c>
      <c r="F28" s="6" t="s">
        <v>10</v>
      </c>
      <c r="G28" s="7" t="s">
        <v>11</v>
      </c>
    </row>
    <row r="29" spans="1:7">
      <c r="A29" s="1" t="s">
        <v>61</v>
      </c>
      <c r="B29" s="2" t="s">
        <v>62</v>
      </c>
      <c r="C29" s="3" t="s">
        <v>9</v>
      </c>
      <c r="D29" s="4">
        <v>2865</v>
      </c>
      <c r="E29" s="5">
        <v>692969</v>
      </c>
      <c r="F29" s="6" t="s">
        <v>10</v>
      </c>
      <c r="G29" s="7" t="s">
        <v>11</v>
      </c>
    </row>
    <row r="30" spans="1:7">
      <c r="A30" s="1" t="s">
        <v>63</v>
      </c>
      <c r="B30" s="2" t="s">
        <v>64</v>
      </c>
      <c r="C30" s="3" t="s">
        <v>9</v>
      </c>
      <c r="D30" s="4">
        <v>190</v>
      </c>
      <c r="E30" s="5">
        <v>8311</v>
      </c>
      <c r="F30" s="6" t="s">
        <v>10</v>
      </c>
      <c r="G30" s="7" t="s">
        <v>11</v>
      </c>
    </row>
    <row r="31" spans="1:7">
      <c r="A31" s="1" t="s">
        <v>65</v>
      </c>
      <c r="B31" s="2" t="s">
        <v>66</v>
      </c>
      <c r="C31" s="3" t="s">
        <v>9</v>
      </c>
      <c r="D31" s="4">
        <v>4</v>
      </c>
      <c r="E31" s="5">
        <v>1092</v>
      </c>
      <c r="F31" s="6" t="s">
        <v>10</v>
      </c>
      <c r="G31" s="7" t="s">
        <v>11</v>
      </c>
    </row>
    <row r="32" spans="1:7">
      <c r="A32" s="1" t="s">
        <v>67</v>
      </c>
      <c r="B32" s="2" t="s">
        <v>68</v>
      </c>
      <c r="C32" s="3" t="s">
        <v>9</v>
      </c>
      <c r="D32" s="4">
        <v>9167</v>
      </c>
      <c r="E32" s="5">
        <v>252283</v>
      </c>
      <c r="F32" s="6" t="s">
        <v>10</v>
      </c>
      <c r="G32" s="7" t="s">
        <v>11</v>
      </c>
    </row>
    <row r="33" spans="1:5">
      <c r="A33" s="1" t="s">
        <v>69</v>
      </c>
      <c r="D33" s="4">
        <f>SUM(D2:D32)</f>
        <v>6503729</v>
      </c>
      <c r="E33" s="4">
        <f>SUM(E2:E32)</f>
        <v>177314560</v>
      </c>
    </row>
    <row r="34" spans="1:5">
      <c r="A34" s="8"/>
      <c r="B34" s="9"/>
      <c r="C34" s="10"/>
      <c r="D34" s="11"/>
      <c r="E34" s="12"/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1A141-2001-407D-9C2F-951A9FED6561}">
  <dimension ref="A1:G37"/>
  <sheetViews>
    <sheetView workbookViewId="0">
      <selection activeCell="A37" sqref="A37:XFD38"/>
    </sheetView>
  </sheetViews>
  <sheetFormatPr defaultRowHeight="12.5"/>
  <cols>
    <col min="1" max="1" width="8.54296875" style="15" bestFit="1" customWidth="1"/>
    <col min="2" max="2" width="30" style="15" bestFit="1" customWidth="1"/>
    <col min="3" max="3" width="6.7265625" style="15" bestFit="1" customWidth="1"/>
    <col min="4" max="4" width="8.90625" style="15" bestFit="1" customWidth="1"/>
    <col min="5" max="5" width="11.1796875" style="15" bestFit="1" customWidth="1"/>
    <col min="6" max="6" width="8.54296875" style="15" bestFit="1" customWidth="1"/>
    <col min="7" max="7" width="20.453125" style="15" bestFit="1" customWidth="1"/>
    <col min="8" max="16384" width="8.7265625" style="15"/>
  </cols>
  <sheetData>
    <row r="1" spans="1:7" ht="13.5" thickBot="1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</row>
    <row r="2" spans="1:7" ht="13">
      <c r="A2" s="16">
        <v>2</v>
      </c>
      <c r="B2" s="17" t="s">
        <v>8</v>
      </c>
      <c r="C2" s="17" t="s">
        <v>9</v>
      </c>
      <c r="D2" s="17">
        <v>9947</v>
      </c>
      <c r="E2" s="17">
        <v>1251439</v>
      </c>
      <c r="F2" s="17">
        <v>202503</v>
      </c>
      <c r="G2" s="17" t="s">
        <v>70</v>
      </c>
    </row>
    <row r="3" spans="1:7" ht="13">
      <c r="A3" s="18">
        <v>2</v>
      </c>
      <c r="B3" s="19" t="s">
        <v>8</v>
      </c>
      <c r="C3" s="19" t="s">
        <v>9</v>
      </c>
      <c r="D3" s="19">
        <v>18938</v>
      </c>
      <c r="E3" s="19">
        <v>2382619</v>
      </c>
      <c r="F3" s="19">
        <v>202503</v>
      </c>
      <c r="G3" s="19" t="s">
        <v>71</v>
      </c>
    </row>
    <row r="4" spans="1:7" ht="13">
      <c r="A4" s="16">
        <v>3</v>
      </c>
      <c r="B4" s="17" t="s">
        <v>13</v>
      </c>
      <c r="C4" s="17" t="s">
        <v>9</v>
      </c>
      <c r="D4" s="17">
        <v>120829</v>
      </c>
      <c r="E4" s="17">
        <v>2156551</v>
      </c>
      <c r="F4" s="17">
        <v>202503</v>
      </c>
      <c r="G4" s="17" t="s">
        <v>71</v>
      </c>
    </row>
    <row r="5" spans="1:7" ht="13">
      <c r="A5" s="18">
        <v>4</v>
      </c>
      <c r="B5" s="19" t="s">
        <v>15</v>
      </c>
      <c r="C5" s="19" t="s">
        <v>9</v>
      </c>
      <c r="D5" s="19">
        <v>48620</v>
      </c>
      <c r="E5" s="19">
        <v>1914216</v>
      </c>
      <c r="F5" s="19">
        <v>202503</v>
      </c>
      <c r="G5" s="19" t="s">
        <v>71</v>
      </c>
    </row>
    <row r="6" spans="1:7" ht="13">
      <c r="A6" s="16">
        <v>5</v>
      </c>
      <c r="B6" s="17" t="s">
        <v>17</v>
      </c>
      <c r="C6" s="17" t="s">
        <v>9</v>
      </c>
      <c r="D6" s="17">
        <v>84293</v>
      </c>
      <c r="E6" s="17">
        <v>2433157</v>
      </c>
      <c r="F6" s="17">
        <v>202503</v>
      </c>
      <c r="G6" s="17" t="s">
        <v>71</v>
      </c>
    </row>
    <row r="7" spans="1:7" ht="13">
      <c r="A7" s="18">
        <v>6</v>
      </c>
      <c r="B7" s="19" t="s">
        <v>19</v>
      </c>
      <c r="C7" s="19" t="s">
        <v>9</v>
      </c>
      <c r="D7" s="19">
        <v>3761</v>
      </c>
      <c r="E7" s="19">
        <v>217261</v>
      </c>
      <c r="F7" s="19">
        <v>202503</v>
      </c>
      <c r="G7" s="19" t="s">
        <v>71</v>
      </c>
    </row>
    <row r="8" spans="1:7" ht="13">
      <c r="A8" s="16">
        <v>7</v>
      </c>
      <c r="B8" s="17" t="s">
        <v>21</v>
      </c>
      <c r="C8" s="17" t="s">
        <v>9</v>
      </c>
      <c r="D8" s="17">
        <v>102966</v>
      </c>
      <c r="E8" s="17">
        <v>2427397</v>
      </c>
      <c r="F8" s="17">
        <v>202503</v>
      </c>
      <c r="G8" s="17" t="s">
        <v>71</v>
      </c>
    </row>
    <row r="9" spans="1:7" ht="13">
      <c r="A9" s="18">
        <v>8</v>
      </c>
      <c r="B9" s="19" t="s">
        <v>23</v>
      </c>
      <c r="C9" s="19" t="s">
        <v>9</v>
      </c>
      <c r="D9" s="19">
        <v>35599</v>
      </c>
      <c r="E9" s="19">
        <v>1323423</v>
      </c>
      <c r="F9" s="17">
        <v>202503</v>
      </c>
      <c r="G9" s="19" t="s">
        <v>71</v>
      </c>
    </row>
    <row r="10" spans="1:7" ht="13">
      <c r="A10" s="16" t="s">
        <v>24</v>
      </c>
      <c r="B10" s="17" t="s">
        <v>25</v>
      </c>
      <c r="C10" s="17" t="s">
        <v>9</v>
      </c>
      <c r="D10" s="17">
        <v>71652</v>
      </c>
      <c r="E10" s="17">
        <v>2293137</v>
      </c>
      <c r="F10" s="17">
        <v>202503</v>
      </c>
      <c r="G10" s="17" t="s">
        <v>71</v>
      </c>
    </row>
    <row r="11" spans="1:7" ht="13">
      <c r="A11" s="18" t="s">
        <v>26</v>
      </c>
      <c r="B11" s="19" t="s">
        <v>27</v>
      </c>
      <c r="C11" s="19" t="s">
        <v>9</v>
      </c>
      <c r="D11" s="19">
        <v>4451</v>
      </c>
      <c r="E11" s="19">
        <v>100393</v>
      </c>
      <c r="F11" s="19">
        <v>202503</v>
      </c>
      <c r="G11" s="19" t="s">
        <v>71</v>
      </c>
    </row>
    <row r="12" spans="1:7" ht="13">
      <c r="A12" s="16" t="s">
        <v>26</v>
      </c>
      <c r="B12" s="17" t="s">
        <v>27</v>
      </c>
      <c r="C12" s="17" t="s">
        <v>9</v>
      </c>
      <c r="D12" s="17">
        <v>5583</v>
      </c>
      <c r="E12" s="17">
        <v>126756</v>
      </c>
      <c r="F12" s="17">
        <v>202503</v>
      </c>
      <c r="G12" s="17" t="s">
        <v>72</v>
      </c>
    </row>
    <row r="13" spans="1:7" ht="13">
      <c r="A13" s="18" t="s">
        <v>28</v>
      </c>
      <c r="B13" s="19" t="s">
        <v>29</v>
      </c>
      <c r="C13" s="19" t="s">
        <v>9</v>
      </c>
      <c r="D13" s="19">
        <v>34880</v>
      </c>
      <c r="E13" s="19">
        <v>1310964</v>
      </c>
      <c r="F13" s="19">
        <v>202503</v>
      </c>
      <c r="G13" s="19" t="s">
        <v>72</v>
      </c>
    </row>
    <row r="14" spans="1:7" ht="13">
      <c r="A14" s="16" t="s">
        <v>30</v>
      </c>
      <c r="B14" s="17" t="s">
        <v>31</v>
      </c>
      <c r="C14" s="17" t="s">
        <v>32</v>
      </c>
      <c r="D14" s="17">
        <v>1118492</v>
      </c>
      <c r="E14" s="17">
        <v>26798310</v>
      </c>
      <c r="F14" s="17">
        <v>202503</v>
      </c>
      <c r="G14" s="17" t="s">
        <v>72</v>
      </c>
    </row>
    <row r="15" spans="1:7" ht="13">
      <c r="A15" s="18" t="s">
        <v>30</v>
      </c>
      <c r="B15" s="19" t="s">
        <v>31</v>
      </c>
      <c r="C15" s="19" t="s">
        <v>9</v>
      </c>
      <c r="D15" s="19">
        <v>3053444</v>
      </c>
      <c r="E15" s="19">
        <v>75918270</v>
      </c>
      <c r="F15" s="19">
        <v>202503</v>
      </c>
      <c r="G15" s="19" t="s">
        <v>72</v>
      </c>
    </row>
    <row r="16" spans="1:7" ht="13">
      <c r="A16" s="16">
        <v>10</v>
      </c>
      <c r="B16" s="17" t="s">
        <v>34</v>
      </c>
      <c r="C16" s="17" t="s">
        <v>9</v>
      </c>
      <c r="D16" s="17">
        <v>144660</v>
      </c>
      <c r="E16" s="17">
        <v>4733749</v>
      </c>
      <c r="F16" s="17">
        <v>202503</v>
      </c>
      <c r="G16" s="17" t="s">
        <v>72</v>
      </c>
    </row>
    <row r="17" spans="1:7" ht="13">
      <c r="A17" s="18">
        <v>11</v>
      </c>
      <c r="B17" s="19" t="s">
        <v>36</v>
      </c>
      <c r="C17" s="19" t="s">
        <v>9</v>
      </c>
      <c r="D17" s="19">
        <v>406174</v>
      </c>
      <c r="E17" s="19">
        <v>10338656</v>
      </c>
      <c r="F17" s="19">
        <v>202503</v>
      </c>
      <c r="G17" s="19" t="s">
        <v>72</v>
      </c>
    </row>
    <row r="18" spans="1:7" ht="13">
      <c r="A18" s="16">
        <v>12</v>
      </c>
      <c r="B18" s="17" t="s">
        <v>38</v>
      </c>
      <c r="C18" s="17" t="s">
        <v>9</v>
      </c>
      <c r="D18" s="17">
        <v>123263</v>
      </c>
      <c r="E18" s="17">
        <v>4482617</v>
      </c>
      <c r="F18" s="17">
        <v>202503</v>
      </c>
      <c r="G18" s="17" t="s">
        <v>72</v>
      </c>
    </row>
    <row r="19" spans="1:7" ht="13">
      <c r="A19" s="18">
        <v>13</v>
      </c>
      <c r="B19" s="19" t="s">
        <v>40</v>
      </c>
      <c r="C19" s="19" t="s">
        <v>32</v>
      </c>
      <c r="D19" s="19">
        <v>0</v>
      </c>
      <c r="E19" s="19">
        <v>0</v>
      </c>
      <c r="F19" s="19">
        <v>202503</v>
      </c>
      <c r="G19" s="19" t="s">
        <v>72</v>
      </c>
    </row>
    <row r="20" spans="1:7" ht="13">
      <c r="A20" s="16">
        <v>13</v>
      </c>
      <c r="B20" s="17" t="s">
        <v>40</v>
      </c>
      <c r="C20" s="17" t="s">
        <v>9</v>
      </c>
      <c r="D20" s="17">
        <v>846588</v>
      </c>
      <c r="E20" s="17">
        <v>29255653</v>
      </c>
      <c r="F20" s="17">
        <v>202503</v>
      </c>
      <c r="G20" s="17" t="s">
        <v>72</v>
      </c>
    </row>
    <row r="21" spans="1:7" ht="13">
      <c r="A21" s="18">
        <v>14</v>
      </c>
      <c r="B21" s="19" t="s">
        <v>42</v>
      </c>
      <c r="C21" s="19" t="s">
        <v>9</v>
      </c>
      <c r="D21" s="19">
        <v>23031</v>
      </c>
      <c r="E21" s="19">
        <v>611970</v>
      </c>
      <c r="F21" s="19">
        <v>202503</v>
      </c>
      <c r="G21" s="19" t="s">
        <v>72</v>
      </c>
    </row>
    <row r="22" spans="1:7" ht="13">
      <c r="A22" s="16">
        <v>14</v>
      </c>
      <c r="B22" s="17" t="s">
        <v>42</v>
      </c>
      <c r="C22" s="17" t="s">
        <v>9</v>
      </c>
      <c r="D22" s="17">
        <v>73139</v>
      </c>
      <c r="E22" s="17">
        <v>1911703</v>
      </c>
      <c r="F22" s="17">
        <v>202503</v>
      </c>
      <c r="G22" s="17" t="s">
        <v>73</v>
      </c>
    </row>
    <row r="23" spans="1:7" ht="13">
      <c r="A23" s="18">
        <v>15</v>
      </c>
      <c r="B23" s="19" t="s">
        <v>44</v>
      </c>
      <c r="C23" s="19" t="s">
        <v>9</v>
      </c>
      <c r="D23" s="19">
        <v>107811</v>
      </c>
      <c r="E23" s="19">
        <v>2948723</v>
      </c>
      <c r="F23" s="19">
        <v>202503</v>
      </c>
      <c r="G23" s="19" t="s">
        <v>73</v>
      </c>
    </row>
    <row r="24" spans="1:7" ht="13">
      <c r="A24" s="16">
        <v>16</v>
      </c>
      <c r="B24" s="17" t="s">
        <v>46</v>
      </c>
      <c r="C24" s="17" t="s">
        <v>9</v>
      </c>
      <c r="D24" s="17">
        <v>6067</v>
      </c>
      <c r="E24" s="17">
        <v>288189</v>
      </c>
      <c r="F24" s="17">
        <v>202503</v>
      </c>
      <c r="G24" s="17" t="s">
        <v>73</v>
      </c>
    </row>
    <row r="25" spans="1:7" ht="13">
      <c r="A25" s="18">
        <v>17</v>
      </c>
      <c r="B25" s="19" t="s">
        <v>48</v>
      </c>
      <c r="C25" s="19" t="s">
        <v>9</v>
      </c>
      <c r="D25" s="19">
        <v>8867</v>
      </c>
      <c r="E25" s="19">
        <v>303265</v>
      </c>
      <c r="F25" s="19">
        <v>202503</v>
      </c>
      <c r="G25" s="19" t="s">
        <v>73</v>
      </c>
    </row>
    <row r="26" spans="1:7" ht="13">
      <c r="A26" s="16">
        <v>18</v>
      </c>
      <c r="B26" s="17" t="s">
        <v>50</v>
      </c>
      <c r="C26" s="17" t="s">
        <v>9</v>
      </c>
      <c r="D26" s="17">
        <v>45068</v>
      </c>
      <c r="E26" s="17">
        <v>1272728</v>
      </c>
      <c r="F26" s="17">
        <v>202503</v>
      </c>
      <c r="G26" s="17" t="s">
        <v>73</v>
      </c>
    </row>
    <row r="27" spans="1:7" ht="13">
      <c r="A27" s="18" t="s">
        <v>51</v>
      </c>
      <c r="B27" s="19" t="s">
        <v>52</v>
      </c>
      <c r="C27" s="19" t="s">
        <v>9</v>
      </c>
      <c r="D27" s="19">
        <v>9921</v>
      </c>
      <c r="E27" s="19">
        <v>458378</v>
      </c>
      <c r="F27" s="19">
        <v>202503</v>
      </c>
      <c r="G27" s="19" t="s">
        <v>73</v>
      </c>
    </row>
    <row r="28" spans="1:7" ht="13">
      <c r="A28" s="16" t="s">
        <v>53</v>
      </c>
      <c r="B28" s="17" t="s">
        <v>54</v>
      </c>
      <c r="C28" s="17" t="s">
        <v>9</v>
      </c>
      <c r="D28" s="17">
        <v>1781</v>
      </c>
      <c r="E28" s="17">
        <v>89531</v>
      </c>
      <c r="F28" s="17">
        <v>202503</v>
      </c>
      <c r="G28" s="17" t="s">
        <v>73</v>
      </c>
    </row>
    <row r="29" spans="1:7" ht="13">
      <c r="A29" s="18" t="s">
        <v>55</v>
      </c>
      <c r="B29" s="19" t="s">
        <v>56</v>
      </c>
      <c r="C29" s="19" t="s">
        <v>9</v>
      </c>
      <c r="D29" s="19">
        <v>14048</v>
      </c>
      <c r="E29" s="19">
        <v>712853</v>
      </c>
      <c r="F29" s="19">
        <v>202503</v>
      </c>
      <c r="G29" s="19" t="s">
        <v>73</v>
      </c>
    </row>
    <row r="30" spans="1:7" ht="13">
      <c r="A30" s="16" t="s">
        <v>57</v>
      </c>
      <c r="B30" s="17" t="s">
        <v>58</v>
      </c>
      <c r="C30" s="17" t="s">
        <v>9</v>
      </c>
      <c r="D30" s="17">
        <v>11137</v>
      </c>
      <c r="E30" s="17">
        <v>342707</v>
      </c>
      <c r="F30" s="17">
        <v>202503</v>
      </c>
      <c r="G30" s="17" t="s">
        <v>73</v>
      </c>
    </row>
    <row r="31" spans="1:7" ht="13">
      <c r="A31" s="18" t="s">
        <v>59</v>
      </c>
      <c r="B31" s="19" t="s">
        <v>60</v>
      </c>
      <c r="C31" s="19" t="s">
        <v>9</v>
      </c>
      <c r="D31" s="19">
        <v>20720</v>
      </c>
      <c r="E31" s="19">
        <v>316299</v>
      </c>
      <c r="F31" s="19">
        <v>202503</v>
      </c>
      <c r="G31" s="19" t="s">
        <v>73</v>
      </c>
    </row>
    <row r="32" spans="1:7" ht="13">
      <c r="A32" s="16">
        <v>20</v>
      </c>
      <c r="B32" s="17" t="s">
        <v>62</v>
      </c>
      <c r="C32" s="17" t="s">
        <v>9</v>
      </c>
      <c r="D32" s="17">
        <v>4675</v>
      </c>
      <c r="E32" s="17">
        <v>1022408</v>
      </c>
      <c r="F32" s="17">
        <v>202503</v>
      </c>
      <c r="G32" s="17" t="s">
        <v>73</v>
      </c>
    </row>
    <row r="33" spans="1:7" ht="13">
      <c r="A33" s="18">
        <v>21</v>
      </c>
      <c r="B33" s="19" t="s">
        <v>64</v>
      </c>
      <c r="C33" s="19" t="s">
        <v>9</v>
      </c>
      <c r="D33" s="19">
        <v>351</v>
      </c>
      <c r="E33" s="19">
        <v>15957</v>
      </c>
      <c r="F33" s="19">
        <v>202503</v>
      </c>
      <c r="G33" s="19" t="s">
        <v>73</v>
      </c>
    </row>
    <row r="34" spans="1:7" ht="13">
      <c r="A34" s="16">
        <v>22</v>
      </c>
      <c r="B34" s="17" t="s">
        <v>66</v>
      </c>
      <c r="C34" s="17" t="s">
        <v>9</v>
      </c>
      <c r="D34" s="17">
        <v>7</v>
      </c>
      <c r="E34" s="17">
        <v>2241</v>
      </c>
      <c r="F34" s="17">
        <v>202503</v>
      </c>
      <c r="G34" s="17" t="s">
        <v>73</v>
      </c>
    </row>
    <row r="35" spans="1:7" ht="13">
      <c r="A35" s="18">
        <v>23</v>
      </c>
      <c r="B35" s="19" t="s">
        <v>68</v>
      </c>
      <c r="C35" s="19" t="s">
        <v>9</v>
      </c>
      <c r="D35" s="19">
        <v>8567</v>
      </c>
      <c r="E35" s="19">
        <v>233757</v>
      </c>
      <c r="F35" s="19">
        <v>202503</v>
      </c>
      <c r="G35" s="19" t="s">
        <v>73</v>
      </c>
    </row>
    <row r="36" spans="1:7" ht="13.5" thickBot="1">
      <c r="A36" s="20" t="s">
        <v>74</v>
      </c>
      <c r="B36" s="21"/>
      <c r="C36" s="21"/>
      <c r="D36" s="21">
        <v>6569330</v>
      </c>
      <c r="E36" s="21">
        <v>179995277</v>
      </c>
      <c r="F36" s="21"/>
      <c r="G36" s="21"/>
    </row>
    <row r="37" spans="1:7" ht="14.5">
      <c r="A37" s="8"/>
      <c r="D37" s="11"/>
      <c r="E37" s="1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0A5FD-66F8-454C-A582-73956117F2DE}">
  <dimension ref="A1:G34"/>
  <sheetViews>
    <sheetView workbookViewId="0">
      <selection activeCell="A34" sqref="A34:XFD38"/>
    </sheetView>
  </sheetViews>
  <sheetFormatPr defaultRowHeight="12.5"/>
  <cols>
    <col min="1" max="1" width="8.54296875" style="15" bestFit="1" customWidth="1"/>
    <col min="2" max="2" width="30" style="15" bestFit="1" customWidth="1"/>
    <col min="3" max="3" width="6.7265625" style="15" bestFit="1" customWidth="1"/>
    <col min="4" max="4" width="8.90625" style="15" bestFit="1" customWidth="1"/>
    <col min="5" max="5" width="11.1796875" style="15" bestFit="1" customWidth="1"/>
    <col min="6" max="6" width="8.54296875" style="15" bestFit="1" customWidth="1"/>
    <col min="7" max="7" width="20.453125" style="15" bestFit="1" customWidth="1"/>
    <col min="8" max="9" width="8.7265625" style="15"/>
    <col min="10" max="10" width="10.26953125" style="15" bestFit="1" customWidth="1"/>
    <col min="11" max="16384" width="8.7265625" style="15"/>
  </cols>
  <sheetData>
    <row r="1" spans="1:7" ht="13.5" thickBot="1">
      <c r="A1" s="13" t="s">
        <v>80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</row>
    <row r="2" spans="1:7" ht="13">
      <c r="A2" s="16">
        <v>2</v>
      </c>
      <c r="B2" s="17" t="s">
        <v>8</v>
      </c>
      <c r="C2" s="17" t="s">
        <v>9</v>
      </c>
      <c r="D2" s="17">
        <v>27298</v>
      </c>
      <c r="E2" s="17">
        <v>3439101</v>
      </c>
      <c r="F2" s="17">
        <v>202504</v>
      </c>
      <c r="G2" s="17" t="s">
        <v>75</v>
      </c>
    </row>
    <row r="3" spans="1:7" ht="13">
      <c r="A3" s="18">
        <v>3</v>
      </c>
      <c r="B3" s="19" t="s">
        <v>13</v>
      </c>
      <c r="C3" s="19" t="s">
        <v>9</v>
      </c>
      <c r="D3" s="19">
        <v>114593</v>
      </c>
      <c r="E3" s="19">
        <v>2043593</v>
      </c>
      <c r="F3" s="19">
        <v>202504</v>
      </c>
      <c r="G3" s="19" t="s">
        <v>75</v>
      </c>
    </row>
    <row r="4" spans="1:7" ht="13">
      <c r="A4" s="16">
        <v>4</v>
      </c>
      <c r="B4" s="17" t="s">
        <v>15</v>
      </c>
      <c r="C4" s="17" t="s">
        <v>9</v>
      </c>
      <c r="D4" s="17">
        <v>45799</v>
      </c>
      <c r="E4" s="17">
        <v>1792063</v>
      </c>
      <c r="F4" s="17">
        <v>202504</v>
      </c>
      <c r="G4" s="17" t="s">
        <v>75</v>
      </c>
    </row>
    <row r="5" spans="1:7" ht="13">
      <c r="A5" s="18">
        <v>5</v>
      </c>
      <c r="B5" s="19" t="s">
        <v>17</v>
      </c>
      <c r="C5" s="19" t="s">
        <v>9</v>
      </c>
      <c r="D5" s="19">
        <v>79430</v>
      </c>
      <c r="E5" s="19">
        <v>2293411</v>
      </c>
      <c r="F5" s="19">
        <v>202504</v>
      </c>
      <c r="G5" s="19" t="s">
        <v>75</v>
      </c>
    </row>
    <row r="6" spans="1:7" ht="13">
      <c r="A6" s="16">
        <v>6</v>
      </c>
      <c r="B6" s="17" t="s">
        <v>19</v>
      </c>
      <c r="C6" s="17" t="s">
        <v>9</v>
      </c>
      <c r="D6" s="17">
        <v>3566</v>
      </c>
      <c r="E6" s="17">
        <v>211702</v>
      </c>
      <c r="F6" s="17">
        <v>202504</v>
      </c>
      <c r="G6" s="17" t="s">
        <v>75</v>
      </c>
    </row>
    <row r="7" spans="1:7" ht="13">
      <c r="A7" s="18">
        <v>7</v>
      </c>
      <c r="B7" s="19" t="s">
        <v>21</v>
      </c>
      <c r="C7" s="19" t="s">
        <v>9</v>
      </c>
      <c r="D7" s="19">
        <v>98977</v>
      </c>
      <c r="E7" s="19">
        <v>2328908</v>
      </c>
      <c r="F7" s="19">
        <v>202504</v>
      </c>
      <c r="G7" s="19" t="s">
        <v>75</v>
      </c>
    </row>
    <row r="8" spans="1:7" ht="13">
      <c r="A8" s="16">
        <v>8</v>
      </c>
      <c r="B8" s="17" t="s">
        <v>23</v>
      </c>
      <c r="C8" s="17" t="s">
        <v>9</v>
      </c>
      <c r="D8" s="17">
        <v>34195</v>
      </c>
      <c r="E8" s="17">
        <v>1254918</v>
      </c>
      <c r="F8" s="17">
        <v>202504</v>
      </c>
      <c r="G8" s="17" t="s">
        <v>75</v>
      </c>
    </row>
    <row r="9" spans="1:7" ht="13">
      <c r="A9" s="18" t="s">
        <v>24</v>
      </c>
      <c r="B9" s="19" t="s">
        <v>25</v>
      </c>
      <c r="C9" s="19" t="s">
        <v>9</v>
      </c>
      <c r="D9" s="19">
        <v>73754</v>
      </c>
      <c r="E9" s="19">
        <v>2372534</v>
      </c>
      <c r="F9" s="19">
        <v>202504</v>
      </c>
      <c r="G9" s="19" t="s">
        <v>75</v>
      </c>
    </row>
    <row r="10" spans="1:7" ht="13">
      <c r="A10" s="16" t="s">
        <v>26</v>
      </c>
      <c r="B10" s="17" t="s">
        <v>27</v>
      </c>
      <c r="C10" s="17" t="s">
        <v>9</v>
      </c>
      <c r="D10" s="17">
        <v>9325</v>
      </c>
      <c r="E10" s="17">
        <v>213703</v>
      </c>
      <c r="F10" s="17">
        <v>202504</v>
      </c>
      <c r="G10" s="17" t="s">
        <v>75</v>
      </c>
    </row>
    <row r="11" spans="1:7" ht="13">
      <c r="A11" s="18" t="s">
        <v>28</v>
      </c>
      <c r="B11" s="19" t="s">
        <v>29</v>
      </c>
      <c r="C11" s="19" t="s">
        <v>9</v>
      </c>
      <c r="D11" s="19">
        <v>33288</v>
      </c>
      <c r="E11" s="19">
        <v>1240478</v>
      </c>
      <c r="F11" s="19">
        <v>202504</v>
      </c>
      <c r="G11" s="19" t="s">
        <v>75</v>
      </c>
    </row>
    <row r="12" spans="1:7" ht="13">
      <c r="A12" s="16" t="s">
        <v>30</v>
      </c>
      <c r="B12" s="17" t="s">
        <v>31</v>
      </c>
      <c r="C12" s="17" t="s">
        <v>32</v>
      </c>
      <c r="D12" s="17">
        <v>1065357</v>
      </c>
      <c r="E12" s="17">
        <v>25652201</v>
      </c>
      <c r="F12" s="17">
        <v>202504</v>
      </c>
      <c r="G12" s="17" t="s">
        <v>75</v>
      </c>
    </row>
    <row r="13" spans="1:7" ht="13">
      <c r="A13" s="18" t="s">
        <v>30</v>
      </c>
      <c r="B13" s="19" t="s">
        <v>31</v>
      </c>
      <c r="C13" s="19" t="s">
        <v>9</v>
      </c>
      <c r="D13" s="19">
        <v>2934871</v>
      </c>
      <c r="E13" s="19">
        <v>73045651</v>
      </c>
      <c r="F13" s="19">
        <v>202504</v>
      </c>
      <c r="G13" s="19" t="s">
        <v>75</v>
      </c>
    </row>
    <row r="14" spans="1:7" ht="13">
      <c r="A14" s="16">
        <v>10</v>
      </c>
      <c r="B14" s="17" t="s">
        <v>34</v>
      </c>
      <c r="C14" s="17" t="s">
        <v>9</v>
      </c>
      <c r="D14" s="17">
        <v>119250</v>
      </c>
      <c r="E14" s="17">
        <v>3961774</v>
      </c>
      <c r="F14" s="17">
        <v>202504</v>
      </c>
      <c r="G14" s="17" t="s">
        <v>75</v>
      </c>
    </row>
    <row r="15" spans="1:7" ht="13">
      <c r="A15" s="18">
        <v>11</v>
      </c>
      <c r="B15" s="19" t="s">
        <v>36</v>
      </c>
      <c r="C15" s="19" t="s">
        <v>9</v>
      </c>
      <c r="D15" s="19">
        <v>361665</v>
      </c>
      <c r="E15" s="19">
        <v>9323444</v>
      </c>
      <c r="F15" s="19">
        <v>202504</v>
      </c>
      <c r="G15" s="19" t="s">
        <v>75</v>
      </c>
    </row>
    <row r="16" spans="1:7" ht="13">
      <c r="A16" s="16">
        <v>12</v>
      </c>
      <c r="B16" s="17" t="s">
        <v>38</v>
      </c>
      <c r="C16" s="17" t="s">
        <v>9</v>
      </c>
      <c r="D16" s="17">
        <v>119526</v>
      </c>
      <c r="E16" s="17">
        <v>4325590</v>
      </c>
      <c r="F16" s="17">
        <v>202504</v>
      </c>
      <c r="G16" s="17" t="s">
        <v>75</v>
      </c>
    </row>
    <row r="17" spans="1:7" ht="13">
      <c r="A17" s="18">
        <v>13</v>
      </c>
      <c r="B17" s="19" t="s">
        <v>40</v>
      </c>
      <c r="C17" s="19" t="s">
        <v>32</v>
      </c>
      <c r="D17" s="19">
        <v>0</v>
      </c>
      <c r="E17" s="19">
        <v>0</v>
      </c>
      <c r="F17" s="19">
        <v>202504</v>
      </c>
      <c r="G17" s="19" t="s">
        <v>75</v>
      </c>
    </row>
    <row r="18" spans="1:7" ht="13">
      <c r="A18" s="16">
        <v>13</v>
      </c>
      <c r="B18" s="17" t="s">
        <v>40</v>
      </c>
      <c r="C18" s="17" t="s">
        <v>9</v>
      </c>
      <c r="D18" s="17">
        <v>809179</v>
      </c>
      <c r="E18" s="17">
        <v>27871790</v>
      </c>
      <c r="F18" s="17">
        <v>202504</v>
      </c>
      <c r="G18" s="17" t="s">
        <v>75</v>
      </c>
    </row>
    <row r="19" spans="1:7" ht="13">
      <c r="A19" s="18">
        <v>14</v>
      </c>
      <c r="B19" s="19" t="s">
        <v>42</v>
      </c>
      <c r="C19" s="19" t="s">
        <v>9</v>
      </c>
      <c r="D19" s="19">
        <v>93535</v>
      </c>
      <c r="E19" s="19">
        <v>2452472</v>
      </c>
      <c r="F19" s="19">
        <v>202504</v>
      </c>
      <c r="G19" s="19" t="s">
        <v>75</v>
      </c>
    </row>
    <row r="20" spans="1:7" ht="13">
      <c r="A20" s="16">
        <v>15</v>
      </c>
      <c r="B20" s="17" t="s">
        <v>44</v>
      </c>
      <c r="C20" s="17" t="s">
        <v>9</v>
      </c>
      <c r="D20" s="17">
        <v>107627</v>
      </c>
      <c r="E20" s="17">
        <v>2919102</v>
      </c>
      <c r="F20" s="17">
        <v>202504</v>
      </c>
      <c r="G20" s="17" t="s">
        <v>75</v>
      </c>
    </row>
    <row r="21" spans="1:7" ht="13">
      <c r="A21" s="18">
        <v>16</v>
      </c>
      <c r="B21" s="19" t="s">
        <v>46</v>
      </c>
      <c r="C21" s="19" t="s">
        <v>9</v>
      </c>
      <c r="D21" s="19">
        <v>5448</v>
      </c>
      <c r="E21" s="19">
        <v>261892</v>
      </c>
      <c r="F21" s="19">
        <v>202504</v>
      </c>
      <c r="G21" s="19" t="s">
        <v>75</v>
      </c>
    </row>
    <row r="22" spans="1:7" ht="13">
      <c r="A22" s="16">
        <v>17</v>
      </c>
      <c r="B22" s="17" t="s">
        <v>48</v>
      </c>
      <c r="C22" s="17" t="s">
        <v>9</v>
      </c>
      <c r="D22" s="17">
        <v>8777</v>
      </c>
      <c r="E22" s="17">
        <v>289253</v>
      </c>
      <c r="F22" s="17">
        <v>202504</v>
      </c>
      <c r="G22" s="17" t="s">
        <v>75</v>
      </c>
    </row>
    <row r="23" spans="1:7" ht="13">
      <c r="A23" s="18">
        <v>18</v>
      </c>
      <c r="B23" s="19" t="s">
        <v>50</v>
      </c>
      <c r="C23" s="19" t="s">
        <v>9</v>
      </c>
      <c r="D23" s="19">
        <v>40492</v>
      </c>
      <c r="E23" s="19">
        <v>1150028</v>
      </c>
      <c r="F23" s="19">
        <v>202504</v>
      </c>
      <c r="G23" s="19" t="s">
        <v>75</v>
      </c>
    </row>
    <row r="24" spans="1:7" ht="13">
      <c r="A24" s="16" t="s">
        <v>51</v>
      </c>
      <c r="B24" s="17" t="s">
        <v>52</v>
      </c>
      <c r="C24" s="17" t="s">
        <v>9</v>
      </c>
      <c r="D24" s="17">
        <v>9398</v>
      </c>
      <c r="E24" s="17">
        <v>440325</v>
      </c>
      <c r="F24" s="17">
        <v>202504</v>
      </c>
      <c r="G24" s="17" t="s">
        <v>75</v>
      </c>
    </row>
    <row r="25" spans="1:7" ht="13">
      <c r="A25" s="18" t="s">
        <v>53</v>
      </c>
      <c r="B25" s="19" t="s">
        <v>54</v>
      </c>
      <c r="C25" s="19" t="s">
        <v>9</v>
      </c>
      <c r="D25" s="19">
        <v>1846</v>
      </c>
      <c r="E25" s="19">
        <v>92207</v>
      </c>
      <c r="F25" s="19">
        <v>202504</v>
      </c>
      <c r="G25" s="19" t="s">
        <v>75</v>
      </c>
    </row>
    <row r="26" spans="1:7" ht="13">
      <c r="A26" s="16" t="s">
        <v>55</v>
      </c>
      <c r="B26" s="17" t="s">
        <v>56</v>
      </c>
      <c r="C26" s="17" t="s">
        <v>9</v>
      </c>
      <c r="D26" s="17">
        <v>13152</v>
      </c>
      <c r="E26" s="17">
        <v>626468</v>
      </c>
      <c r="F26" s="17">
        <v>202504</v>
      </c>
      <c r="G26" s="17" t="s">
        <v>75</v>
      </c>
    </row>
    <row r="27" spans="1:7" ht="13">
      <c r="A27" s="18" t="s">
        <v>57</v>
      </c>
      <c r="B27" s="19" t="s">
        <v>58</v>
      </c>
      <c r="C27" s="19" t="s">
        <v>9</v>
      </c>
      <c r="D27" s="19">
        <v>11329</v>
      </c>
      <c r="E27" s="19">
        <v>341769</v>
      </c>
      <c r="F27" s="19">
        <v>202504</v>
      </c>
      <c r="G27" s="19" t="s">
        <v>75</v>
      </c>
    </row>
    <row r="28" spans="1:7" ht="13">
      <c r="A28" s="16" t="s">
        <v>59</v>
      </c>
      <c r="B28" s="17" t="s">
        <v>60</v>
      </c>
      <c r="C28" s="17" t="s">
        <v>9</v>
      </c>
      <c r="D28" s="17">
        <v>19562</v>
      </c>
      <c r="E28" s="17">
        <v>298280</v>
      </c>
      <c r="F28" s="17">
        <v>202504</v>
      </c>
      <c r="G28" s="17" t="s">
        <v>75</v>
      </c>
    </row>
    <row r="29" spans="1:7" ht="13">
      <c r="A29" s="18">
        <v>20</v>
      </c>
      <c r="B29" s="19" t="s">
        <v>62</v>
      </c>
      <c r="C29" s="19" t="s">
        <v>9</v>
      </c>
      <c r="D29" s="19">
        <v>4116</v>
      </c>
      <c r="E29" s="19">
        <v>847419</v>
      </c>
      <c r="F29" s="19">
        <v>202504</v>
      </c>
      <c r="G29" s="19" t="s">
        <v>75</v>
      </c>
    </row>
    <row r="30" spans="1:7" ht="13">
      <c r="A30" s="16">
        <v>21</v>
      </c>
      <c r="B30" s="17" t="s">
        <v>64</v>
      </c>
      <c r="C30" s="17" t="s">
        <v>9</v>
      </c>
      <c r="D30" s="17">
        <v>252</v>
      </c>
      <c r="E30" s="17">
        <v>10940</v>
      </c>
      <c r="F30" s="17">
        <v>202504</v>
      </c>
      <c r="G30" s="17" t="s">
        <v>75</v>
      </c>
    </row>
    <row r="31" spans="1:7" ht="13">
      <c r="A31" s="18">
        <v>22</v>
      </c>
      <c r="B31" s="19" t="s">
        <v>66</v>
      </c>
      <c r="C31" s="19" t="s">
        <v>9</v>
      </c>
      <c r="D31" s="19">
        <v>83</v>
      </c>
      <c r="E31" s="19">
        <v>34031</v>
      </c>
      <c r="F31" s="19">
        <v>202504</v>
      </c>
      <c r="G31" s="19" t="s">
        <v>75</v>
      </c>
    </row>
    <row r="32" spans="1:7" ht="13">
      <c r="A32" s="16">
        <v>23</v>
      </c>
      <c r="B32" s="17" t="s">
        <v>68</v>
      </c>
      <c r="C32" s="17" t="s">
        <v>9</v>
      </c>
      <c r="D32" s="17">
        <v>8489</v>
      </c>
      <c r="E32" s="17">
        <v>227836</v>
      </c>
      <c r="F32" s="17">
        <v>202504</v>
      </c>
      <c r="G32" s="17" t="s">
        <v>75</v>
      </c>
    </row>
    <row r="33" spans="1:7" ht="13.5" thickBot="1">
      <c r="A33" s="20" t="s">
        <v>74</v>
      </c>
      <c r="B33" s="21"/>
      <c r="C33" s="21"/>
      <c r="D33" s="21">
        <v>6254179</v>
      </c>
      <c r="E33" s="21">
        <v>171362883</v>
      </c>
      <c r="F33" s="21"/>
      <c r="G33" s="21"/>
    </row>
    <row r="34" spans="1:7" ht="14.5">
      <c r="A34" s="8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07CFB-D254-4DFD-83C4-0AA15DF8B6E2}">
  <dimension ref="A1:J34"/>
  <sheetViews>
    <sheetView zoomScaleNormal="100" workbookViewId="0">
      <pane xSplit="2" ySplit="1" topLeftCell="C14" activePane="bottomRight" state="frozen"/>
      <selection pane="topRight" activeCell="C1" sqref="C1"/>
      <selection pane="bottomLeft" activeCell="A2" sqref="A2"/>
      <selection pane="bottomRight" activeCell="A34" sqref="A34:XFD35"/>
    </sheetView>
  </sheetViews>
  <sheetFormatPr defaultRowHeight="15"/>
  <cols>
    <col min="1" max="1" width="10.1796875" style="24" bestFit="1" customWidth="1"/>
    <col min="2" max="2" width="36.08984375" style="24" bestFit="1" customWidth="1"/>
    <col min="3" max="3" width="8" style="24" bestFit="1" customWidth="1"/>
    <col min="4" max="4" width="10.36328125" style="24" bestFit="1" customWidth="1"/>
    <col min="5" max="5" width="13.1796875" style="24" bestFit="1" customWidth="1"/>
    <col min="6" max="6" width="10.1796875" style="24" bestFit="1" customWidth="1"/>
    <col min="7" max="7" width="23.81640625" style="24" bestFit="1" customWidth="1"/>
    <col min="8" max="8" width="8.7265625" style="24"/>
    <col min="9" max="9" width="9.7265625" style="24" bestFit="1" customWidth="1"/>
    <col min="10" max="10" width="12.26953125" style="24" bestFit="1" customWidth="1"/>
    <col min="11" max="16384" width="8.7265625" style="24"/>
  </cols>
  <sheetData>
    <row r="1" spans="1:8" ht="16.5" thickBot="1">
      <c r="A1" s="22" t="s">
        <v>80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</row>
    <row r="2" spans="1:8" ht="15.5">
      <c r="A2" s="25">
        <v>2</v>
      </c>
      <c r="B2" s="26" t="s">
        <v>8</v>
      </c>
      <c r="C2" s="26" t="s">
        <v>9</v>
      </c>
      <c r="D2" s="26">
        <v>28266</v>
      </c>
      <c r="E2" s="26">
        <v>3546989</v>
      </c>
      <c r="F2" s="26">
        <v>202505</v>
      </c>
      <c r="G2" s="26" t="s">
        <v>76</v>
      </c>
      <c r="H2" s="24">
        <f>E2/D2</f>
        <v>125.48606099200452</v>
      </c>
    </row>
    <row r="3" spans="1:8" ht="15.5">
      <c r="A3" s="27">
        <v>3</v>
      </c>
      <c r="B3" s="28" t="s">
        <v>13</v>
      </c>
      <c r="C3" s="28" t="s">
        <v>9</v>
      </c>
      <c r="D3" s="28">
        <v>117532</v>
      </c>
      <c r="E3" s="28">
        <v>2081488</v>
      </c>
      <c r="F3" s="28">
        <v>202505</v>
      </c>
      <c r="G3" s="28" t="s">
        <v>76</v>
      </c>
      <c r="H3" s="24">
        <f t="shared" ref="H3:H32" si="0">E3/D3</f>
        <v>17.709968349045365</v>
      </c>
    </row>
    <row r="4" spans="1:8" ht="15.5">
      <c r="A4" s="29">
        <v>4</v>
      </c>
      <c r="B4" s="30" t="s">
        <v>15</v>
      </c>
      <c r="C4" s="30" t="s">
        <v>9</v>
      </c>
      <c r="D4" s="30">
        <v>47981</v>
      </c>
      <c r="E4" s="30">
        <v>1863544</v>
      </c>
      <c r="F4" s="30">
        <v>202505</v>
      </c>
      <c r="G4" s="30" t="s">
        <v>76</v>
      </c>
      <c r="H4" s="24">
        <f t="shared" si="0"/>
        <v>38.839207186177859</v>
      </c>
    </row>
    <row r="5" spans="1:8" ht="15.5">
      <c r="A5" s="27">
        <v>5</v>
      </c>
      <c r="B5" s="28" t="s">
        <v>17</v>
      </c>
      <c r="C5" s="28" t="s">
        <v>9</v>
      </c>
      <c r="D5" s="28">
        <v>78937</v>
      </c>
      <c r="E5" s="28">
        <v>2269572</v>
      </c>
      <c r="F5" s="28">
        <v>202505</v>
      </c>
      <c r="G5" s="28" t="s">
        <v>76</v>
      </c>
      <c r="H5" s="24">
        <f t="shared" si="0"/>
        <v>28.751688055031227</v>
      </c>
    </row>
    <row r="6" spans="1:8" ht="15.5">
      <c r="A6" s="29">
        <v>6</v>
      </c>
      <c r="B6" s="30" t="s">
        <v>19</v>
      </c>
      <c r="C6" s="30" t="s">
        <v>9</v>
      </c>
      <c r="D6" s="30">
        <v>3942</v>
      </c>
      <c r="E6" s="30">
        <v>223885</v>
      </c>
      <c r="F6" s="30">
        <v>202505</v>
      </c>
      <c r="G6" s="30" t="s">
        <v>76</v>
      </c>
      <c r="H6" s="24">
        <f t="shared" si="0"/>
        <v>56.794774226281078</v>
      </c>
    </row>
    <row r="7" spans="1:8" ht="15.5">
      <c r="A7" s="27">
        <v>7</v>
      </c>
      <c r="B7" s="28" t="s">
        <v>21</v>
      </c>
      <c r="C7" s="28" t="s">
        <v>9</v>
      </c>
      <c r="D7" s="28">
        <v>98239</v>
      </c>
      <c r="E7" s="28">
        <v>2308746</v>
      </c>
      <c r="F7" s="28">
        <v>202505</v>
      </c>
      <c r="G7" s="28" t="s">
        <v>76</v>
      </c>
      <c r="H7" s="24">
        <f t="shared" si="0"/>
        <v>23.501318213744032</v>
      </c>
    </row>
    <row r="8" spans="1:8" ht="15.5">
      <c r="A8" s="29">
        <v>8</v>
      </c>
      <c r="B8" s="30" t="s">
        <v>23</v>
      </c>
      <c r="C8" s="30" t="s">
        <v>9</v>
      </c>
      <c r="D8" s="30">
        <v>35017</v>
      </c>
      <c r="E8" s="30">
        <v>1284124</v>
      </c>
      <c r="F8" s="30">
        <v>202505</v>
      </c>
      <c r="G8" s="30" t="s">
        <v>76</v>
      </c>
      <c r="H8" s="24">
        <f t="shared" si="0"/>
        <v>36.671445297998112</v>
      </c>
    </row>
    <row r="9" spans="1:8" ht="15.5">
      <c r="A9" s="27" t="s">
        <v>24</v>
      </c>
      <c r="B9" s="28" t="s">
        <v>25</v>
      </c>
      <c r="C9" s="28" t="s">
        <v>9</v>
      </c>
      <c r="D9" s="28">
        <v>75132</v>
      </c>
      <c r="E9" s="28">
        <v>2409070</v>
      </c>
      <c r="F9" s="28">
        <v>202505</v>
      </c>
      <c r="G9" s="28" t="s">
        <v>76</v>
      </c>
      <c r="H9" s="24">
        <f t="shared" si="0"/>
        <v>32.064499813661293</v>
      </c>
    </row>
    <row r="10" spans="1:8" ht="15.5">
      <c r="A10" s="29" t="s">
        <v>26</v>
      </c>
      <c r="B10" s="30" t="s">
        <v>27</v>
      </c>
      <c r="C10" s="30" t="s">
        <v>9</v>
      </c>
      <c r="D10" s="30">
        <v>9472</v>
      </c>
      <c r="E10" s="30">
        <v>217371</v>
      </c>
      <c r="F10" s="30">
        <v>202505</v>
      </c>
      <c r="G10" s="30" t="s">
        <v>76</v>
      </c>
      <c r="H10" s="24">
        <f t="shared" si="0"/>
        <v>22.948796452702702</v>
      </c>
    </row>
    <row r="11" spans="1:8" ht="15.5">
      <c r="A11" s="27" t="s">
        <v>28</v>
      </c>
      <c r="B11" s="28" t="s">
        <v>29</v>
      </c>
      <c r="C11" s="28" t="s">
        <v>9</v>
      </c>
      <c r="D11" s="28">
        <v>35477</v>
      </c>
      <c r="E11" s="28">
        <v>1327871</v>
      </c>
      <c r="F11" s="28">
        <v>202505</v>
      </c>
      <c r="G11" s="28" t="s">
        <v>76</v>
      </c>
      <c r="H11" s="24">
        <f t="shared" si="0"/>
        <v>37.429066719282915</v>
      </c>
    </row>
    <row r="12" spans="1:8" ht="15.5">
      <c r="A12" s="29" t="s">
        <v>30</v>
      </c>
      <c r="B12" s="30" t="s">
        <v>31</v>
      </c>
      <c r="C12" s="30" t="s">
        <v>32</v>
      </c>
      <c r="D12" s="30">
        <v>1083743</v>
      </c>
      <c r="E12" s="30">
        <v>25921737</v>
      </c>
      <c r="F12" s="30">
        <v>202505</v>
      </c>
      <c r="G12" s="30" t="s">
        <v>76</v>
      </c>
      <c r="H12" s="24">
        <f t="shared" si="0"/>
        <v>23.91871227772636</v>
      </c>
    </row>
    <row r="13" spans="1:8" ht="15.5">
      <c r="A13" s="27" t="s">
        <v>30</v>
      </c>
      <c r="B13" s="28" t="s">
        <v>31</v>
      </c>
      <c r="C13" s="28" t="s">
        <v>9</v>
      </c>
      <c r="D13" s="28">
        <v>3024067</v>
      </c>
      <c r="E13" s="28">
        <v>75152480</v>
      </c>
      <c r="F13" s="28">
        <v>202505</v>
      </c>
      <c r="G13" s="28" t="s">
        <v>76</v>
      </c>
      <c r="H13" s="24">
        <f t="shared" si="0"/>
        <v>24.851459970959638</v>
      </c>
    </row>
    <row r="14" spans="1:8" ht="15.5">
      <c r="A14" s="29">
        <v>10</v>
      </c>
      <c r="B14" s="30" t="s">
        <v>34</v>
      </c>
      <c r="C14" s="30" t="s">
        <v>9</v>
      </c>
      <c r="D14" s="30">
        <v>133688</v>
      </c>
      <c r="E14" s="30">
        <v>4519981</v>
      </c>
      <c r="F14" s="30">
        <v>202505</v>
      </c>
      <c r="G14" s="30" t="s">
        <v>76</v>
      </c>
      <c r="H14" s="24">
        <f t="shared" si="0"/>
        <v>33.809923104541916</v>
      </c>
    </row>
    <row r="15" spans="1:8" ht="15.5">
      <c r="A15" s="27">
        <v>11</v>
      </c>
      <c r="B15" s="28" t="s">
        <v>36</v>
      </c>
      <c r="C15" s="28" t="s">
        <v>9</v>
      </c>
      <c r="D15" s="28">
        <v>397855</v>
      </c>
      <c r="E15" s="28">
        <v>10116233</v>
      </c>
      <c r="F15" s="28">
        <v>202505</v>
      </c>
      <c r="G15" s="28" t="s">
        <v>76</v>
      </c>
      <c r="H15" s="24">
        <f t="shared" si="0"/>
        <v>25.426934435912582</v>
      </c>
    </row>
    <row r="16" spans="1:8" ht="15.5">
      <c r="A16" s="29">
        <v>12</v>
      </c>
      <c r="B16" s="30" t="s">
        <v>38</v>
      </c>
      <c r="C16" s="30" t="s">
        <v>9</v>
      </c>
      <c r="D16" s="30">
        <v>118700</v>
      </c>
      <c r="E16" s="30">
        <v>4307784</v>
      </c>
      <c r="F16" s="30">
        <v>202505</v>
      </c>
      <c r="G16" s="30" t="s">
        <v>76</v>
      </c>
      <c r="H16" s="24">
        <f t="shared" si="0"/>
        <v>36.29135636057287</v>
      </c>
    </row>
    <row r="17" spans="1:8" ht="15.5">
      <c r="A17" s="27">
        <v>13</v>
      </c>
      <c r="B17" s="28" t="s">
        <v>40</v>
      </c>
      <c r="C17" s="28" t="s">
        <v>32</v>
      </c>
      <c r="D17" s="28">
        <v>0</v>
      </c>
      <c r="E17" s="28">
        <v>0</v>
      </c>
      <c r="F17" s="28">
        <v>202505</v>
      </c>
      <c r="G17" s="28" t="s">
        <v>76</v>
      </c>
      <c r="H17" s="24" t="e">
        <f t="shared" si="0"/>
        <v>#DIV/0!</v>
      </c>
    </row>
    <row r="18" spans="1:8" ht="15.5">
      <c r="A18" s="29">
        <v>13</v>
      </c>
      <c r="B18" s="30" t="s">
        <v>40</v>
      </c>
      <c r="C18" s="30" t="s">
        <v>9</v>
      </c>
      <c r="D18" s="30">
        <v>830387</v>
      </c>
      <c r="E18" s="30">
        <v>28641356</v>
      </c>
      <c r="F18" s="30">
        <v>202505</v>
      </c>
      <c r="G18" s="30" t="s">
        <v>76</v>
      </c>
      <c r="H18" s="24">
        <f t="shared" si="0"/>
        <v>34.491575614743489</v>
      </c>
    </row>
    <row r="19" spans="1:8" ht="15.5">
      <c r="A19" s="27">
        <v>14</v>
      </c>
      <c r="B19" s="28" t="s">
        <v>42</v>
      </c>
      <c r="C19" s="28" t="s">
        <v>9</v>
      </c>
      <c r="D19" s="28">
        <v>93941</v>
      </c>
      <c r="E19" s="28">
        <v>2507715</v>
      </c>
      <c r="F19" s="28">
        <v>202505</v>
      </c>
      <c r="G19" s="28" t="s">
        <v>76</v>
      </c>
      <c r="H19" s="24">
        <f t="shared" si="0"/>
        <v>26.694574254053077</v>
      </c>
    </row>
    <row r="20" spans="1:8" ht="15.5">
      <c r="A20" s="29">
        <v>15</v>
      </c>
      <c r="B20" s="30" t="s">
        <v>44</v>
      </c>
      <c r="C20" s="30" t="s">
        <v>9</v>
      </c>
      <c r="D20" s="30">
        <v>108014</v>
      </c>
      <c r="E20" s="30">
        <v>2899693</v>
      </c>
      <c r="F20" s="30">
        <v>202505</v>
      </c>
      <c r="G20" s="30" t="s">
        <v>76</v>
      </c>
      <c r="H20" s="24">
        <f t="shared" si="0"/>
        <v>26.84552928324106</v>
      </c>
    </row>
    <row r="21" spans="1:8" ht="15.5">
      <c r="A21" s="27">
        <v>16</v>
      </c>
      <c r="B21" s="28" t="s">
        <v>46</v>
      </c>
      <c r="C21" s="28" t="s">
        <v>9</v>
      </c>
      <c r="D21" s="28">
        <v>5520</v>
      </c>
      <c r="E21" s="28">
        <v>266978</v>
      </c>
      <c r="F21" s="28">
        <v>202505</v>
      </c>
      <c r="G21" s="28" t="s">
        <v>76</v>
      </c>
      <c r="H21" s="24">
        <f t="shared" si="0"/>
        <v>48.365579710144928</v>
      </c>
    </row>
    <row r="22" spans="1:8" ht="15.5">
      <c r="A22" s="29">
        <v>17</v>
      </c>
      <c r="B22" s="30" t="s">
        <v>48</v>
      </c>
      <c r="C22" s="30" t="s">
        <v>9</v>
      </c>
      <c r="D22" s="30">
        <v>8632</v>
      </c>
      <c r="E22" s="30">
        <v>281052</v>
      </c>
      <c r="F22" s="30">
        <v>202505</v>
      </c>
      <c r="G22" s="30" t="s">
        <v>76</v>
      </c>
      <c r="H22" s="24">
        <f t="shared" si="0"/>
        <v>32.559314179796111</v>
      </c>
    </row>
    <row r="23" spans="1:8" ht="15.5">
      <c r="A23" s="27">
        <v>18</v>
      </c>
      <c r="B23" s="28" t="s">
        <v>50</v>
      </c>
      <c r="C23" s="28" t="s">
        <v>9</v>
      </c>
      <c r="D23" s="28">
        <v>41021</v>
      </c>
      <c r="E23" s="28">
        <v>1161952</v>
      </c>
      <c r="F23" s="28">
        <v>202505</v>
      </c>
      <c r="G23" s="28" t="s">
        <v>76</v>
      </c>
      <c r="H23" s="24">
        <f t="shared" si="0"/>
        <v>28.325784354355086</v>
      </c>
    </row>
    <row r="24" spans="1:8" ht="15.5">
      <c r="A24" s="29" t="s">
        <v>51</v>
      </c>
      <c r="B24" s="30" t="s">
        <v>52</v>
      </c>
      <c r="C24" s="30" t="s">
        <v>9</v>
      </c>
      <c r="D24" s="30">
        <v>8947</v>
      </c>
      <c r="E24" s="30">
        <v>418885</v>
      </c>
      <c r="F24" s="30">
        <v>202505</v>
      </c>
      <c r="G24" s="30" t="s">
        <v>76</v>
      </c>
      <c r="H24" s="24">
        <f t="shared" si="0"/>
        <v>46.818486643567674</v>
      </c>
    </row>
    <row r="25" spans="1:8" ht="15.5">
      <c r="A25" s="27" t="s">
        <v>53</v>
      </c>
      <c r="B25" s="28" t="s">
        <v>54</v>
      </c>
      <c r="C25" s="28" t="s">
        <v>9</v>
      </c>
      <c r="D25" s="28">
        <v>1909</v>
      </c>
      <c r="E25" s="28">
        <v>98205</v>
      </c>
      <c r="F25" s="28">
        <v>202505</v>
      </c>
      <c r="G25" s="28" t="s">
        <v>76</v>
      </c>
      <c r="H25" s="24">
        <f t="shared" si="0"/>
        <v>51.443163960188578</v>
      </c>
    </row>
    <row r="26" spans="1:8" ht="15.5">
      <c r="A26" s="29" t="s">
        <v>55</v>
      </c>
      <c r="B26" s="30" t="s">
        <v>56</v>
      </c>
      <c r="C26" s="30" t="s">
        <v>9</v>
      </c>
      <c r="D26" s="30">
        <v>13429</v>
      </c>
      <c r="E26" s="30">
        <v>648092</v>
      </c>
      <c r="F26" s="30">
        <v>202505</v>
      </c>
      <c r="G26" s="30" t="s">
        <v>76</v>
      </c>
      <c r="H26" s="24">
        <f t="shared" si="0"/>
        <v>48.260629979894262</v>
      </c>
    </row>
    <row r="27" spans="1:8" ht="15.5">
      <c r="A27" s="27" t="s">
        <v>57</v>
      </c>
      <c r="B27" s="28" t="s">
        <v>58</v>
      </c>
      <c r="C27" s="28" t="s">
        <v>9</v>
      </c>
      <c r="D27" s="28">
        <v>11292</v>
      </c>
      <c r="E27" s="28">
        <v>344796</v>
      </c>
      <c r="F27" s="28">
        <v>202505</v>
      </c>
      <c r="G27" s="28" t="s">
        <v>76</v>
      </c>
      <c r="H27" s="24">
        <f t="shared" si="0"/>
        <v>30.534537725823593</v>
      </c>
    </row>
    <row r="28" spans="1:8" ht="15.5">
      <c r="A28" s="29" t="s">
        <v>59</v>
      </c>
      <c r="B28" s="30" t="s">
        <v>60</v>
      </c>
      <c r="C28" s="30" t="s">
        <v>9</v>
      </c>
      <c r="D28" s="30">
        <v>19995</v>
      </c>
      <c r="E28" s="30">
        <v>305231</v>
      </c>
      <c r="F28" s="30">
        <v>202505</v>
      </c>
      <c r="G28" s="30" t="s">
        <v>76</v>
      </c>
      <c r="H28" s="24">
        <f t="shared" si="0"/>
        <v>15.265366341585397</v>
      </c>
    </row>
    <row r="29" spans="1:8" ht="15.5">
      <c r="A29" s="27">
        <v>20</v>
      </c>
      <c r="B29" s="28" t="s">
        <v>62</v>
      </c>
      <c r="C29" s="28" t="s">
        <v>9</v>
      </c>
      <c r="D29" s="28">
        <v>4045</v>
      </c>
      <c r="E29" s="28">
        <v>828769</v>
      </c>
      <c r="F29" s="28">
        <v>202505</v>
      </c>
      <c r="G29" s="28" t="s">
        <v>76</v>
      </c>
      <c r="H29" s="24">
        <f t="shared" si="0"/>
        <v>204.88726823238565</v>
      </c>
    </row>
    <row r="30" spans="1:8" ht="15.5">
      <c r="A30" s="29">
        <v>21</v>
      </c>
      <c r="B30" s="30" t="s">
        <v>64</v>
      </c>
      <c r="C30" s="30" t="s">
        <v>9</v>
      </c>
      <c r="D30" s="30">
        <v>407</v>
      </c>
      <c r="E30" s="30">
        <v>19225</v>
      </c>
      <c r="F30" s="30">
        <v>202505</v>
      </c>
      <c r="G30" s="30" t="s">
        <v>76</v>
      </c>
      <c r="H30" s="24">
        <f t="shared" si="0"/>
        <v>47.235872235872236</v>
      </c>
    </row>
    <row r="31" spans="1:8" ht="15.5">
      <c r="A31" s="27">
        <v>22</v>
      </c>
      <c r="B31" s="28" t="s">
        <v>66</v>
      </c>
      <c r="C31" s="28" t="s">
        <v>9</v>
      </c>
      <c r="D31" s="28">
        <v>43</v>
      </c>
      <c r="E31" s="28">
        <v>17019</v>
      </c>
      <c r="F31" s="28">
        <v>202505</v>
      </c>
      <c r="G31" s="28" t="s">
        <v>76</v>
      </c>
      <c r="H31" s="24">
        <f t="shared" si="0"/>
        <v>395.7906976744186</v>
      </c>
    </row>
    <row r="32" spans="1:8" ht="15.5">
      <c r="A32" s="29">
        <v>23</v>
      </c>
      <c r="B32" s="30" t="s">
        <v>68</v>
      </c>
      <c r="C32" s="30" t="s">
        <v>9</v>
      </c>
      <c r="D32" s="30">
        <v>8468</v>
      </c>
      <c r="E32" s="30">
        <v>227889</v>
      </c>
      <c r="F32" s="30">
        <v>202505</v>
      </c>
      <c r="G32" s="30" t="s">
        <v>76</v>
      </c>
      <c r="H32" s="24">
        <f t="shared" si="0"/>
        <v>26.911785545583374</v>
      </c>
    </row>
    <row r="33" spans="1:10" ht="16" thickBot="1">
      <c r="A33" s="31" t="s">
        <v>74</v>
      </c>
      <c r="B33" s="32"/>
      <c r="C33" s="32"/>
      <c r="D33" s="32">
        <v>6444098</v>
      </c>
      <c r="E33" s="32">
        <v>176217732</v>
      </c>
      <c r="F33" s="32"/>
      <c r="G33" s="32"/>
      <c r="I33" s="24">
        <v>5360355</v>
      </c>
      <c r="J33" s="24">
        <v>150295995</v>
      </c>
    </row>
    <row r="34" spans="1:10" ht="30" customHeight="1">
      <c r="A34" s="8"/>
      <c r="D34" s="15"/>
      <c r="E34" s="15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43E6A-9EBA-4913-9D1B-F2F2CA5883DF}">
  <dimension ref="A1:G34"/>
  <sheetViews>
    <sheetView workbookViewId="0">
      <selection activeCell="G40" sqref="G40"/>
    </sheetView>
  </sheetViews>
  <sheetFormatPr defaultColWidth="8.6328125" defaultRowHeight="12.5"/>
  <cols>
    <col min="1" max="1" width="8.54296875" bestFit="1" customWidth="1"/>
    <col min="2" max="2" width="30" bestFit="1" customWidth="1"/>
    <col min="3" max="3" width="7.453125" bestFit="1" customWidth="1"/>
    <col min="4" max="4" width="9.453125" bestFit="1" customWidth="1"/>
    <col min="5" max="5" width="11.1796875" bestFit="1" customWidth="1"/>
    <col min="6" max="6" width="9.453125" bestFit="1" customWidth="1"/>
    <col min="7" max="7" width="18.08984375" bestFit="1" customWidth="1"/>
    <col min="12" max="12" width="10.26953125" bestFit="1" customWidth="1"/>
  </cols>
  <sheetData>
    <row r="1" spans="1:7" ht="15" thickBot="1">
      <c r="A1" s="33" t="s">
        <v>80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</row>
    <row r="2" spans="1:7" ht="13">
      <c r="A2" s="43">
        <v>2</v>
      </c>
      <c r="B2" s="44" t="s">
        <v>8</v>
      </c>
      <c r="C2" s="44" t="s">
        <v>9</v>
      </c>
      <c r="D2" s="44">
        <v>27625</v>
      </c>
      <c r="E2" s="44">
        <v>3464150</v>
      </c>
      <c r="F2" s="44">
        <v>202506</v>
      </c>
      <c r="G2" s="44">
        <v>20250708</v>
      </c>
    </row>
    <row r="3" spans="1:7" ht="13">
      <c r="A3" s="18">
        <v>3</v>
      </c>
      <c r="B3" s="19" t="s">
        <v>13</v>
      </c>
      <c r="C3" s="19" t="s">
        <v>9</v>
      </c>
      <c r="D3" s="19">
        <v>103184</v>
      </c>
      <c r="E3" s="19">
        <v>1830259</v>
      </c>
      <c r="F3" s="19">
        <v>202506</v>
      </c>
      <c r="G3" s="19">
        <v>20250708</v>
      </c>
    </row>
    <row r="4" spans="1:7" ht="13">
      <c r="A4" s="16">
        <v>4</v>
      </c>
      <c r="B4" s="17" t="s">
        <v>15</v>
      </c>
      <c r="C4" s="17" t="s">
        <v>9</v>
      </c>
      <c r="D4" s="17">
        <v>47465</v>
      </c>
      <c r="E4" s="17">
        <v>1871399</v>
      </c>
      <c r="F4" s="17">
        <v>202506</v>
      </c>
      <c r="G4" s="17">
        <v>20250708</v>
      </c>
    </row>
    <row r="5" spans="1:7" ht="13">
      <c r="A5" s="18">
        <v>5</v>
      </c>
      <c r="B5" s="19" t="s">
        <v>17</v>
      </c>
      <c r="C5" s="19" t="s">
        <v>9</v>
      </c>
      <c r="D5" s="19">
        <v>70894</v>
      </c>
      <c r="E5" s="19">
        <v>2048623</v>
      </c>
      <c r="F5" s="19">
        <v>202506</v>
      </c>
      <c r="G5" s="19">
        <v>20250708</v>
      </c>
    </row>
    <row r="6" spans="1:7" ht="13">
      <c r="A6" s="16">
        <v>6</v>
      </c>
      <c r="B6" s="17" t="s">
        <v>19</v>
      </c>
      <c r="C6" s="17" t="s">
        <v>9</v>
      </c>
      <c r="D6" s="17">
        <v>4179</v>
      </c>
      <c r="E6" s="17">
        <v>224387</v>
      </c>
      <c r="F6" s="17">
        <v>202506</v>
      </c>
      <c r="G6" s="17">
        <v>20250708</v>
      </c>
    </row>
    <row r="7" spans="1:7" ht="13">
      <c r="A7" s="18">
        <v>7</v>
      </c>
      <c r="B7" s="19" t="s">
        <v>21</v>
      </c>
      <c r="C7" s="19" t="s">
        <v>9</v>
      </c>
      <c r="D7" s="19">
        <v>89823</v>
      </c>
      <c r="E7" s="19">
        <v>2106611</v>
      </c>
      <c r="F7" s="19">
        <v>202506</v>
      </c>
      <c r="G7" s="19">
        <v>20250708</v>
      </c>
    </row>
    <row r="8" spans="1:7" ht="13">
      <c r="A8" s="16">
        <v>8</v>
      </c>
      <c r="B8" s="17" t="s">
        <v>23</v>
      </c>
      <c r="C8" s="17" t="s">
        <v>9</v>
      </c>
      <c r="D8" s="17">
        <v>31660</v>
      </c>
      <c r="E8" s="17">
        <v>1162767</v>
      </c>
      <c r="F8" s="17">
        <v>202506</v>
      </c>
      <c r="G8" s="17">
        <v>20250708</v>
      </c>
    </row>
    <row r="9" spans="1:7" ht="13">
      <c r="A9" s="18" t="s">
        <v>24</v>
      </c>
      <c r="B9" s="19" t="s">
        <v>25</v>
      </c>
      <c r="C9" s="19" t="s">
        <v>9</v>
      </c>
      <c r="D9" s="19">
        <v>69741</v>
      </c>
      <c r="E9" s="19">
        <v>2249218</v>
      </c>
      <c r="F9" s="19">
        <v>202506</v>
      </c>
      <c r="G9" s="19">
        <v>20250708</v>
      </c>
    </row>
    <row r="10" spans="1:7" ht="13">
      <c r="A10" s="16" t="s">
        <v>26</v>
      </c>
      <c r="B10" s="17" t="s">
        <v>27</v>
      </c>
      <c r="C10" s="17" t="s">
        <v>9</v>
      </c>
      <c r="D10" s="17">
        <v>9728</v>
      </c>
      <c r="E10" s="17">
        <v>220669</v>
      </c>
      <c r="F10" s="17">
        <v>202506</v>
      </c>
      <c r="G10" s="17">
        <v>20250708</v>
      </c>
    </row>
    <row r="11" spans="1:7" ht="13">
      <c r="A11" s="18" t="s">
        <v>28</v>
      </c>
      <c r="B11" s="19" t="s">
        <v>29</v>
      </c>
      <c r="C11" s="19" t="s">
        <v>9</v>
      </c>
      <c r="D11" s="19">
        <v>33338</v>
      </c>
      <c r="E11" s="19">
        <v>1241702</v>
      </c>
      <c r="F11" s="19">
        <v>202506</v>
      </c>
      <c r="G11" s="19">
        <v>20250708</v>
      </c>
    </row>
    <row r="12" spans="1:7" ht="13">
      <c r="A12" s="16" t="s">
        <v>30</v>
      </c>
      <c r="B12" s="17" t="s">
        <v>31</v>
      </c>
      <c r="C12" s="17" t="s">
        <v>32</v>
      </c>
      <c r="D12" s="17">
        <v>986344</v>
      </c>
      <c r="E12" s="17">
        <v>24118725</v>
      </c>
      <c r="F12" s="17">
        <v>202506</v>
      </c>
      <c r="G12" s="17">
        <v>20250708</v>
      </c>
    </row>
    <row r="13" spans="1:7" ht="13">
      <c r="A13" s="18" t="s">
        <v>30</v>
      </c>
      <c r="B13" s="19" t="s">
        <v>31</v>
      </c>
      <c r="C13" s="19" t="s">
        <v>9</v>
      </c>
      <c r="D13" s="19">
        <v>2758804</v>
      </c>
      <c r="E13" s="19">
        <v>69102270</v>
      </c>
      <c r="F13" s="19">
        <v>202506</v>
      </c>
      <c r="G13" s="19">
        <v>20250708</v>
      </c>
    </row>
    <row r="14" spans="1:7" ht="13">
      <c r="A14" s="16">
        <v>10</v>
      </c>
      <c r="B14" s="17" t="s">
        <v>34</v>
      </c>
      <c r="C14" s="17" t="s">
        <v>9</v>
      </c>
      <c r="D14" s="17">
        <v>112398</v>
      </c>
      <c r="E14" s="17">
        <v>3857355</v>
      </c>
      <c r="F14" s="17">
        <v>202506</v>
      </c>
      <c r="G14" s="17">
        <v>20250708</v>
      </c>
    </row>
    <row r="15" spans="1:7" ht="13">
      <c r="A15" s="18">
        <v>11</v>
      </c>
      <c r="B15" s="19" t="s">
        <v>36</v>
      </c>
      <c r="C15" s="19" t="s">
        <v>9</v>
      </c>
      <c r="D15" s="19">
        <v>353351</v>
      </c>
      <c r="E15" s="19">
        <v>9161292</v>
      </c>
      <c r="F15" s="19">
        <v>202506</v>
      </c>
      <c r="G15" s="19">
        <v>20250708</v>
      </c>
    </row>
    <row r="16" spans="1:7" ht="13">
      <c r="A16" s="16">
        <v>12</v>
      </c>
      <c r="B16" s="17" t="s">
        <v>38</v>
      </c>
      <c r="C16" s="17" t="s">
        <v>9</v>
      </c>
      <c r="D16" s="17">
        <v>99568</v>
      </c>
      <c r="E16" s="17">
        <v>3678001</v>
      </c>
      <c r="F16" s="17">
        <v>202506</v>
      </c>
      <c r="G16" s="17">
        <v>20250708</v>
      </c>
    </row>
    <row r="17" spans="1:7" ht="13">
      <c r="A17" s="18">
        <v>13</v>
      </c>
      <c r="B17" s="19" t="s">
        <v>40</v>
      </c>
      <c r="C17" s="19" t="s">
        <v>32</v>
      </c>
      <c r="D17" s="19">
        <v>0</v>
      </c>
      <c r="E17" s="19">
        <v>0</v>
      </c>
      <c r="F17" s="19">
        <v>202506</v>
      </c>
      <c r="G17" s="19">
        <v>20250708</v>
      </c>
    </row>
    <row r="18" spans="1:7" ht="13">
      <c r="A18" s="16">
        <v>13</v>
      </c>
      <c r="B18" s="17" t="s">
        <v>40</v>
      </c>
      <c r="C18" s="17" t="s">
        <v>9</v>
      </c>
      <c r="D18" s="17">
        <v>774360</v>
      </c>
      <c r="E18" s="17">
        <v>26984975</v>
      </c>
      <c r="F18" s="17">
        <v>202506</v>
      </c>
      <c r="G18" s="17">
        <v>20250708</v>
      </c>
    </row>
    <row r="19" spans="1:7" ht="13">
      <c r="A19" s="18">
        <v>14</v>
      </c>
      <c r="B19" s="19" t="s">
        <v>42</v>
      </c>
      <c r="C19" s="19" t="s">
        <v>9</v>
      </c>
      <c r="D19" s="19">
        <v>78892</v>
      </c>
      <c r="E19" s="19">
        <v>2133830</v>
      </c>
      <c r="F19" s="19">
        <v>202506</v>
      </c>
      <c r="G19" s="19">
        <v>20250708</v>
      </c>
    </row>
    <row r="20" spans="1:7" ht="13">
      <c r="A20" s="16">
        <v>15</v>
      </c>
      <c r="B20" s="17" t="s">
        <v>44</v>
      </c>
      <c r="C20" s="17" t="s">
        <v>9</v>
      </c>
      <c r="D20" s="17">
        <v>82734</v>
      </c>
      <c r="E20" s="17">
        <v>2243505</v>
      </c>
      <c r="F20" s="17">
        <v>202506</v>
      </c>
      <c r="G20" s="17">
        <v>20250708</v>
      </c>
    </row>
    <row r="21" spans="1:7" ht="13">
      <c r="A21" s="18">
        <v>16</v>
      </c>
      <c r="B21" s="19" t="s">
        <v>46</v>
      </c>
      <c r="C21" s="19" t="s">
        <v>9</v>
      </c>
      <c r="D21" s="19">
        <v>4109</v>
      </c>
      <c r="E21" s="19">
        <v>199041</v>
      </c>
      <c r="F21" s="19">
        <v>202506</v>
      </c>
      <c r="G21" s="19">
        <v>20250708</v>
      </c>
    </row>
    <row r="22" spans="1:7" ht="13">
      <c r="A22" s="16">
        <v>17</v>
      </c>
      <c r="B22" s="17" t="s">
        <v>48</v>
      </c>
      <c r="C22" s="17" t="s">
        <v>9</v>
      </c>
      <c r="D22" s="17">
        <v>7626</v>
      </c>
      <c r="E22" s="17">
        <v>254762</v>
      </c>
      <c r="F22" s="17">
        <v>202506</v>
      </c>
      <c r="G22" s="17">
        <v>20250708</v>
      </c>
    </row>
    <row r="23" spans="1:7" ht="13">
      <c r="A23" s="18">
        <v>18</v>
      </c>
      <c r="B23" s="19" t="s">
        <v>50</v>
      </c>
      <c r="C23" s="19" t="s">
        <v>9</v>
      </c>
      <c r="D23" s="19">
        <v>32638</v>
      </c>
      <c r="E23" s="19">
        <v>936998</v>
      </c>
      <c r="F23" s="19">
        <v>202506</v>
      </c>
      <c r="G23" s="19">
        <v>20250708</v>
      </c>
    </row>
    <row r="24" spans="1:7" ht="13">
      <c r="A24" s="16" t="s">
        <v>51</v>
      </c>
      <c r="B24" s="17" t="s">
        <v>52</v>
      </c>
      <c r="C24" s="17" t="s">
        <v>9</v>
      </c>
      <c r="D24" s="17">
        <v>9235</v>
      </c>
      <c r="E24" s="17">
        <v>439038</v>
      </c>
      <c r="F24" s="17">
        <v>202506</v>
      </c>
      <c r="G24" s="17">
        <v>20250708</v>
      </c>
    </row>
    <row r="25" spans="1:7" ht="13">
      <c r="A25" s="18" t="s">
        <v>53</v>
      </c>
      <c r="B25" s="19" t="s">
        <v>54</v>
      </c>
      <c r="C25" s="19" t="s">
        <v>9</v>
      </c>
      <c r="D25" s="19">
        <v>1557</v>
      </c>
      <c r="E25" s="19">
        <v>82876</v>
      </c>
      <c r="F25" s="19">
        <v>202506</v>
      </c>
      <c r="G25" s="19">
        <v>20250708</v>
      </c>
    </row>
    <row r="26" spans="1:7" ht="13">
      <c r="A26" s="16" t="s">
        <v>55</v>
      </c>
      <c r="B26" s="17" t="s">
        <v>56</v>
      </c>
      <c r="C26" s="17" t="s">
        <v>9</v>
      </c>
      <c r="D26" s="17">
        <v>11483</v>
      </c>
      <c r="E26" s="17">
        <v>575320</v>
      </c>
      <c r="F26" s="17">
        <v>202506</v>
      </c>
      <c r="G26" s="17">
        <v>20250708</v>
      </c>
    </row>
    <row r="27" spans="1:7" ht="13">
      <c r="A27" s="18" t="s">
        <v>57</v>
      </c>
      <c r="B27" s="19" t="s">
        <v>58</v>
      </c>
      <c r="C27" s="19" t="s">
        <v>9</v>
      </c>
      <c r="D27" s="19">
        <v>10549</v>
      </c>
      <c r="E27" s="19">
        <v>326250</v>
      </c>
      <c r="F27" s="19">
        <v>202506</v>
      </c>
      <c r="G27" s="19">
        <v>20250708</v>
      </c>
    </row>
    <row r="28" spans="1:7" ht="13">
      <c r="A28" s="16" t="s">
        <v>59</v>
      </c>
      <c r="B28" s="17" t="s">
        <v>60</v>
      </c>
      <c r="C28" s="17" t="s">
        <v>9</v>
      </c>
      <c r="D28" s="17">
        <v>16216</v>
      </c>
      <c r="E28" s="17">
        <v>244763</v>
      </c>
      <c r="F28" s="17">
        <v>202506</v>
      </c>
      <c r="G28" s="17">
        <v>20250708</v>
      </c>
    </row>
    <row r="29" spans="1:7" ht="13">
      <c r="A29" s="18">
        <v>20</v>
      </c>
      <c r="B29" s="19" t="s">
        <v>62</v>
      </c>
      <c r="C29" s="19" t="s">
        <v>9</v>
      </c>
      <c r="D29" s="19">
        <v>3791</v>
      </c>
      <c r="E29" s="19">
        <v>834820</v>
      </c>
      <c r="F29" s="19">
        <v>202506</v>
      </c>
      <c r="G29" s="19">
        <v>20250708</v>
      </c>
    </row>
    <row r="30" spans="1:7" ht="13">
      <c r="A30" s="16">
        <v>21</v>
      </c>
      <c r="B30" s="17" t="s">
        <v>64</v>
      </c>
      <c r="C30" s="17" t="s">
        <v>9</v>
      </c>
      <c r="D30" s="17">
        <v>410</v>
      </c>
      <c r="E30" s="17">
        <v>17850</v>
      </c>
      <c r="F30" s="17">
        <v>202506</v>
      </c>
      <c r="G30" s="17">
        <v>20250708</v>
      </c>
    </row>
    <row r="31" spans="1:7" ht="13">
      <c r="A31" s="18">
        <v>22</v>
      </c>
      <c r="B31" s="19" t="s">
        <v>66</v>
      </c>
      <c r="C31" s="19" t="s">
        <v>9</v>
      </c>
      <c r="D31" s="19">
        <v>29</v>
      </c>
      <c r="E31" s="19">
        <v>3497</v>
      </c>
      <c r="F31" s="19">
        <v>202506</v>
      </c>
      <c r="G31" s="19">
        <v>20250708</v>
      </c>
    </row>
    <row r="32" spans="1:7" ht="13">
      <c r="A32" s="16">
        <v>23</v>
      </c>
      <c r="B32" s="17" t="s">
        <v>68</v>
      </c>
      <c r="C32" s="17" t="s">
        <v>9</v>
      </c>
      <c r="D32" s="17">
        <v>8234</v>
      </c>
      <c r="E32" s="17">
        <v>229614</v>
      </c>
      <c r="F32" s="17">
        <v>202506</v>
      </c>
      <c r="G32" s="17">
        <v>20250708</v>
      </c>
    </row>
    <row r="33" spans="1:7" ht="13.5" thickBot="1">
      <c r="A33" s="45" t="s">
        <v>74</v>
      </c>
      <c r="B33" s="46"/>
      <c r="C33" s="46"/>
      <c r="D33" s="46">
        <v>5839965</v>
      </c>
      <c r="E33" s="46">
        <v>161844567</v>
      </c>
      <c r="F33" s="46"/>
      <c r="G33" s="46"/>
    </row>
    <row r="34" spans="1:7" ht="14.5">
      <c r="A34" s="8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442A9-014A-40B1-AA03-EA2BC3FA78A3}">
  <dimension ref="A1:H34"/>
  <sheetViews>
    <sheetView workbookViewId="0">
      <selection activeCell="A34" sqref="A34:XFD36"/>
    </sheetView>
  </sheetViews>
  <sheetFormatPr defaultRowHeight="12.5"/>
  <cols>
    <col min="1" max="1" width="8.54296875" bestFit="1" customWidth="1"/>
    <col min="2" max="2" width="30" bestFit="1" customWidth="1"/>
    <col min="3" max="3" width="7.453125" bestFit="1" customWidth="1"/>
    <col min="4" max="4" width="9.453125" bestFit="1" customWidth="1"/>
    <col min="5" max="5" width="11.1796875" bestFit="1" customWidth="1"/>
    <col min="6" max="6" width="9.453125" bestFit="1" customWidth="1"/>
    <col min="7" max="7" width="18.08984375" bestFit="1" customWidth="1"/>
    <col min="8" max="8" width="11.6328125" customWidth="1"/>
    <col min="11" max="11" width="10.26953125" bestFit="1" customWidth="1"/>
  </cols>
  <sheetData>
    <row r="1" spans="1:8" ht="15" thickBot="1">
      <c r="A1" s="33" t="s">
        <v>80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</row>
    <row r="2" spans="1:8" ht="13">
      <c r="A2" s="43">
        <v>2</v>
      </c>
      <c r="B2" s="44" t="s">
        <v>8</v>
      </c>
      <c r="C2" s="44" t="s">
        <v>9</v>
      </c>
      <c r="D2" s="44">
        <v>29881</v>
      </c>
      <c r="E2" s="44">
        <v>3738050</v>
      </c>
      <c r="F2" s="44">
        <v>202507</v>
      </c>
      <c r="G2" s="44">
        <v>20250805</v>
      </c>
      <c r="H2">
        <f>E2/D2</f>
        <v>125.09788829021787</v>
      </c>
    </row>
    <row r="3" spans="1:8" ht="13">
      <c r="A3" s="18">
        <v>3</v>
      </c>
      <c r="B3" s="19" t="s">
        <v>13</v>
      </c>
      <c r="C3" s="19" t="s">
        <v>9</v>
      </c>
      <c r="D3" s="19">
        <v>81354</v>
      </c>
      <c r="E3" s="19">
        <v>1434561</v>
      </c>
      <c r="F3" s="19">
        <v>202507</v>
      </c>
      <c r="G3" s="19">
        <v>20250805</v>
      </c>
      <c r="H3">
        <f t="shared" ref="H3:H34" si="0">E3/D3</f>
        <v>17.633564422155025</v>
      </c>
    </row>
    <row r="4" spans="1:8" ht="13">
      <c r="A4" s="16">
        <v>4</v>
      </c>
      <c r="B4" s="17" t="s">
        <v>15</v>
      </c>
      <c r="C4" s="17" t="s">
        <v>9</v>
      </c>
      <c r="D4" s="17">
        <v>50834</v>
      </c>
      <c r="E4" s="17">
        <v>1998791</v>
      </c>
      <c r="F4" s="17">
        <v>202507</v>
      </c>
      <c r="G4" s="17">
        <v>20250805</v>
      </c>
      <c r="H4">
        <f t="shared" si="0"/>
        <v>39.319963016878468</v>
      </c>
    </row>
    <row r="5" spans="1:8" ht="13">
      <c r="A5" s="18">
        <v>5</v>
      </c>
      <c r="B5" s="19" t="s">
        <v>17</v>
      </c>
      <c r="C5" s="19" t="s">
        <v>9</v>
      </c>
      <c r="D5" s="19">
        <v>51963</v>
      </c>
      <c r="E5" s="19">
        <v>1559294</v>
      </c>
      <c r="F5" s="19">
        <v>202507</v>
      </c>
      <c r="G5" s="19">
        <v>20250805</v>
      </c>
      <c r="H5">
        <f t="shared" si="0"/>
        <v>30.007774762812002</v>
      </c>
    </row>
    <row r="6" spans="1:8" ht="13">
      <c r="A6" s="16">
        <v>6</v>
      </c>
      <c r="B6" s="17" t="s">
        <v>19</v>
      </c>
      <c r="C6" s="17" t="s">
        <v>9</v>
      </c>
      <c r="D6" s="17">
        <v>4423</v>
      </c>
      <c r="E6" s="17">
        <v>248927</v>
      </c>
      <c r="F6" s="17">
        <v>202507</v>
      </c>
      <c r="G6" s="17">
        <v>20250805</v>
      </c>
      <c r="H6">
        <f t="shared" si="0"/>
        <v>56.280126610897582</v>
      </c>
    </row>
    <row r="7" spans="1:8" ht="13">
      <c r="A7" s="18">
        <v>7</v>
      </c>
      <c r="B7" s="19" t="s">
        <v>21</v>
      </c>
      <c r="C7" s="19" t="s">
        <v>9</v>
      </c>
      <c r="D7" s="19">
        <v>78072</v>
      </c>
      <c r="E7" s="19">
        <v>1832822</v>
      </c>
      <c r="F7" s="19">
        <v>202507</v>
      </c>
      <c r="G7" s="19">
        <v>20250805</v>
      </c>
      <c r="H7">
        <f t="shared" si="0"/>
        <v>23.476047750794137</v>
      </c>
    </row>
    <row r="8" spans="1:8" ht="13">
      <c r="A8" s="16">
        <v>8</v>
      </c>
      <c r="B8" s="17" t="s">
        <v>23</v>
      </c>
      <c r="C8" s="17" t="s">
        <v>9</v>
      </c>
      <c r="D8" s="17">
        <v>27645</v>
      </c>
      <c r="E8" s="17">
        <v>995248</v>
      </c>
      <c r="F8" s="17">
        <v>202507</v>
      </c>
      <c r="G8" s="17">
        <v>20250805</v>
      </c>
      <c r="H8">
        <f t="shared" si="0"/>
        <v>36.001012841381808</v>
      </c>
    </row>
    <row r="9" spans="1:8" ht="13">
      <c r="A9" s="18" t="s">
        <v>24</v>
      </c>
      <c r="B9" s="19" t="s">
        <v>25</v>
      </c>
      <c r="C9" s="19" t="s">
        <v>9</v>
      </c>
      <c r="D9" s="19">
        <v>54984</v>
      </c>
      <c r="E9" s="19">
        <v>1870218</v>
      </c>
      <c r="F9" s="19">
        <v>202507</v>
      </c>
      <c r="G9" s="19">
        <v>20250805</v>
      </c>
      <c r="H9">
        <f t="shared" si="0"/>
        <v>34.013858577040594</v>
      </c>
    </row>
    <row r="10" spans="1:8" ht="13">
      <c r="A10" s="16" t="s">
        <v>26</v>
      </c>
      <c r="B10" s="17" t="s">
        <v>27</v>
      </c>
      <c r="C10" s="17" t="s">
        <v>9</v>
      </c>
      <c r="D10" s="17">
        <v>11301</v>
      </c>
      <c r="E10" s="17">
        <v>263328</v>
      </c>
      <c r="F10" s="17">
        <v>202507</v>
      </c>
      <c r="G10" s="17">
        <v>20250805</v>
      </c>
      <c r="H10">
        <f t="shared" si="0"/>
        <v>23.301300769843376</v>
      </c>
    </row>
    <row r="11" spans="1:8" ht="13">
      <c r="A11" s="18" t="s">
        <v>28</v>
      </c>
      <c r="B11" s="19" t="s">
        <v>29</v>
      </c>
      <c r="C11" s="19" t="s">
        <v>9</v>
      </c>
      <c r="D11" s="19">
        <v>37246</v>
      </c>
      <c r="E11" s="19">
        <v>1344981</v>
      </c>
      <c r="F11" s="19">
        <v>202507</v>
      </c>
      <c r="G11" s="19">
        <v>20250805</v>
      </c>
      <c r="H11">
        <f t="shared" si="0"/>
        <v>36.110750147666863</v>
      </c>
    </row>
    <row r="12" spans="1:8" ht="13">
      <c r="A12" s="16" t="s">
        <v>30</v>
      </c>
      <c r="B12" s="17" t="s">
        <v>31</v>
      </c>
      <c r="C12" s="17" t="s">
        <v>32</v>
      </c>
      <c r="D12" s="17">
        <v>876408</v>
      </c>
      <c r="E12" s="17">
        <v>22252105</v>
      </c>
      <c r="F12" s="17">
        <v>202507</v>
      </c>
      <c r="G12" s="17">
        <v>20250805</v>
      </c>
      <c r="H12">
        <f t="shared" si="0"/>
        <v>25.390120811311625</v>
      </c>
    </row>
    <row r="13" spans="1:8" ht="13">
      <c r="A13" s="18" t="s">
        <v>30</v>
      </c>
      <c r="B13" s="19" t="s">
        <v>31</v>
      </c>
      <c r="C13" s="19" t="s">
        <v>9</v>
      </c>
      <c r="D13" s="19">
        <v>2320078</v>
      </c>
      <c r="E13" s="19">
        <v>59434852</v>
      </c>
      <c r="F13" s="19">
        <v>202507</v>
      </c>
      <c r="G13" s="19">
        <v>20250805</v>
      </c>
      <c r="H13">
        <f t="shared" si="0"/>
        <v>25.617609407959559</v>
      </c>
    </row>
    <row r="14" spans="1:8" ht="13">
      <c r="A14" s="16">
        <v>10</v>
      </c>
      <c r="B14" s="17" t="s">
        <v>34</v>
      </c>
      <c r="C14" s="17" t="s">
        <v>9</v>
      </c>
      <c r="D14" s="17">
        <v>68342</v>
      </c>
      <c r="E14" s="17">
        <v>2449658</v>
      </c>
      <c r="F14" s="17">
        <v>202507</v>
      </c>
      <c r="G14" s="17">
        <v>20250805</v>
      </c>
      <c r="H14">
        <f t="shared" si="0"/>
        <v>35.844107576600038</v>
      </c>
    </row>
    <row r="15" spans="1:8" ht="13">
      <c r="A15" s="18">
        <v>11</v>
      </c>
      <c r="B15" s="19" t="s">
        <v>36</v>
      </c>
      <c r="C15" s="19" t="s">
        <v>9</v>
      </c>
      <c r="D15" s="19">
        <v>278199</v>
      </c>
      <c r="E15" s="19">
        <v>7476925</v>
      </c>
      <c r="F15" s="19">
        <v>202507</v>
      </c>
      <c r="G15" s="19">
        <v>20250805</v>
      </c>
      <c r="H15">
        <f t="shared" si="0"/>
        <v>26.876174968278104</v>
      </c>
    </row>
    <row r="16" spans="1:8" ht="13">
      <c r="A16" s="16">
        <v>12</v>
      </c>
      <c r="B16" s="17" t="s">
        <v>38</v>
      </c>
      <c r="C16" s="17" t="s">
        <v>9</v>
      </c>
      <c r="D16" s="17">
        <v>41171</v>
      </c>
      <c r="E16" s="17">
        <v>1513384</v>
      </c>
      <c r="F16" s="17">
        <v>202507</v>
      </c>
      <c r="G16" s="17">
        <v>20250805</v>
      </c>
      <c r="H16">
        <f t="shared" si="0"/>
        <v>36.758495057200456</v>
      </c>
    </row>
    <row r="17" spans="1:8" ht="13">
      <c r="A17" s="18">
        <v>13</v>
      </c>
      <c r="B17" s="19" t="s">
        <v>40</v>
      </c>
      <c r="C17" s="19" t="s">
        <v>32</v>
      </c>
      <c r="D17" s="19">
        <v>0</v>
      </c>
      <c r="E17" s="19">
        <v>0</v>
      </c>
      <c r="F17" s="19">
        <v>202507</v>
      </c>
      <c r="G17" s="19">
        <v>20250805</v>
      </c>
    </row>
    <row r="18" spans="1:8" ht="13">
      <c r="A18" s="16">
        <v>13</v>
      </c>
      <c r="B18" s="17" t="s">
        <v>40</v>
      </c>
      <c r="C18" s="17" t="s">
        <v>9</v>
      </c>
      <c r="D18" s="17">
        <v>780652</v>
      </c>
      <c r="E18" s="17">
        <v>27025892</v>
      </c>
      <c r="F18" s="17">
        <v>202507</v>
      </c>
      <c r="G18" s="17">
        <v>20250805</v>
      </c>
      <c r="H18">
        <f t="shared" si="0"/>
        <v>34.619641018020836</v>
      </c>
    </row>
    <row r="19" spans="1:8" ht="13">
      <c r="A19" s="18">
        <v>14</v>
      </c>
      <c r="B19" s="19" t="s">
        <v>42</v>
      </c>
      <c r="C19" s="19" t="s">
        <v>9</v>
      </c>
      <c r="D19" s="19">
        <v>50108</v>
      </c>
      <c r="E19" s="19">
        <v>1326912</v>
      </c>
      <c r="F19" s="19">
        <v>202507</v>
      </c>
      <c r="G19" s="19">
        <v>20250805</v>
      </c>
      <c r="H19">
        <f t="shared" si="0"/>
        <v>26.481040951544664</v>
      </c>
    </row>
    <row r="20" spans="1:8" ht="13">
      <c r="A20" s="16">
        <v>15</v>
      </c>
      <c r="B20" s="17" t="s">
        <v>44</v>
      </c>
      <c r="C20" s="17" t="s">
        <v>9</v>
      </c>
      <c r="D20" s="17">
        <v>45184</v>
      </c>
      <c r="E20" s="17">
        <v>1318398</v>
      </c>
      <c r="F20" s="17">
        <v>202507</v>
      </c>
      <c r="G20" s="17">
        <v>20250805</v>
      </c>
      <c r="H20">
        <f t="shared" si="0"/>
        <v>29.178425991501417</v>
      </c>
    </row>
    <row r="21" spans="1:8" ht="13">
      <c r="A21" s="18">
        <v>16</v>
      </c>
      <c r="B21" s="19" t="s">
        <v>46</v>
      </c>
      <c r="C21" s="19" t="s">
        <v>9</v>
      </c>
      <c r="D21" s="19">
        <v>2087</v>
      </c>
      <c r="E21" s="19">
        <v>104003</v>
      </c>
      <c r="F21" s="19">
        <v>202507</v>
      </c>
      <c r="G21" s="19">
        <v>20250805</v>
      </c>
      <c r="H21">
        <f t="shared" si="0"/>
        <v>49.833732630570196</v>
      </c>
    </row>
    <row r="22" spans="1:8" ht="13">
      <c r="A22" s="16">
        <v>17</v>
      </c>
      <c r="B22" s="17" t="s">
        <v>48</v>
      </c>
      <c r="C22" s="17" t="s">
        <v>9</v>
      </c>
      <c r="D22" s="17">
        <v>7003</v>
      </c>
      <c r="E22" s="17">
        <v>235990</v>
      </c>
      <c r="F22" s="17">
        <v>202507</v>
      </c>
      <c r="G22" s="17">
        <v>20250805</v>
      </c>
      <c r="H22">
        <f t="shared" si="0"/>
        <v>33.69841496501499</v>
      </c>
    </row>
    <row r="23" spans="1:8" ht="13">
      <c r="A23" s="18">
        <v>18</v>
      </c>
      <c r="B23" s="19" t="s">
        <v>50</v>
      </c>
      <c r="C23" s="19" t="s">
        <v>9</v>
      </c>
      <c r="D23" s="19">
        <v>20563</v>
      </c>
      <c r="E23" s="19">
        <v>567268</v>
      </c>
      <c r="F23" s="19">
        <v>202507</v>
      </c>
      <c r="G23" s="19">
        <v>20250805</v>
      </c>
      <c r="H23">
        <f t="shared" si="0"/>
        <v>27.586830715362545</v>
      </c>
    </row>
    <row r="24" spans="1:8" ht="13">
      <c r="A24" s="16" t="s">
        <v>51</v>
      </c>
      <c r="B24" s="17" t="s">
        <v>52</v>
      </c>
      <c r="C24" s="17" t="s">
        <v>9</v>
      </c>
      <c r="D24" s="17">
        <v>8988</v>
      </c>
      <c r="E24" s="17">
        <v>441606</v>
      </c>
      <c r="F24" s="17">
        <v>202507</v>
      </c>
      <c r="G24" s="17">
        <v>20250805</v>
      </c>
      <c r="H24">
        <f t="shared" si="0"/>
        <v>49.132843791722294</v>
      </c>
    </row>
    <row r="25" spans="1:8" ht="13">
      <c r="A25" s="18" t="s">
        <v>53</v>
      </c>
      <c r="B25" s="19" t="s">
        <v>54</v>
      </c>
      <c r="C25" s="19" t="s">
        <v>9</v>
      </c>
      <c r="D25" s="19">
        <v>1262</v>
      </c>
      <c r="E25" s="19">
        <v>80415</v>
      </c>
      <c r="F25" s="19">
        <v>202507</v>
      </c>
      <c r="G25" s="19">
        <v>20250805</v>
      </c>
      <c r="H25">
        <f t="shared" si="0"/>
        <v>63.7202852614897</v>
      </c>
    </row>
    <row r="26" spans="1:8" ht="13">
      <c r="A26" s="16" t="s">
        <v>55</v>
      </c>
      <c r="B26" s="17" t="s">
        <v>56</v>
      </c>
      <c r="C26" s="17" t="s">
        <v>9</v>
      </c>
      <c r="D26" s="17">
        <v>6213</v>
      </c>
      <c r="E26" s="17">
        <v>337102</v>
      </c>
      <c r="F26" s="17">
        <v>202507</v>
      </c>
      <c r="G26" s="17">
        <v>20250805</v>
      </c>
      <c r="H26">
        <f t="shared" si="0"/>
        <v>54.257524545308222</v>
      </c>
    </row>
    <row r="27" spans="1:8" ht="13">
      <c r="A27" s="18" t="s">
        <v>57</v>
      </c>
      <c r="B27" s="19" t="s">
        <v>58</v>
      </c>
      <c r="C27" s="19" t="s">
        <v>9</v>
      </c>
      <c r="D27" s="19">
        <v>8723</v>
      </c>
      <c r="E27" s="19">
        <v>260510</v>
      </c>
      <c r="F27" s="19">
        <v>202507</v>
      </c>
      <c r="G27" s="19">
        <v>20250805</v>
      </c>
      <c r="H27">
        <f t="shared" si="0"/>
        <v>29.864725438495931</v>
      </c>
    </row>
    <row r="28" spans="1:8" ht="13">
      <c r="A28" s="16" t="s">
        <v>59</v>
      </c>
      <c r="B28" s="17" t="s">
        <v>60</v>
      </c>
      <c r="C28" s="17" t="s">
        <v>9</v>
      </c>
      <c r="D28" s="17">
        <v>11125</v>
      </c>
      <c r="E28" s="17">
        <v>164978</v>
      </c>
      <c r="F28" s="17">
        <v>202507</v>
      </c>
      <c r="G28" s="17">
        <v>20250805</v>
      </c>
      <c r="H28">
        <f t="shared" si="0"/>
        <v>14.829483146067416</v>
      </c>
    </row>
    <row r="29" spans="1:8" ht="13">
      <c r="A29" s="18">
        <v>20</v>
      </c>
      <c r="B29" s="19" t="s">
        <v>62</v>
      </c>
      <c r="C29" s="19" t="s">
        <v>9</v>
      </c>
      <c r="D29" s="19">
        <v>3263</v>
      </c>
      <c r="E29" s="19">
        <v>819341</v>
      </c>
      <c r="F29" s="19">
        <v>202507</v>
      </c>
      <c r="G29" s="19">
        <v>20250805</v>
      </c>
      <c r="H29">
        <f t="shared" si="0"/>
        <v>251.10052099295126</v>
      </c>
    </row>
    <row r="30" spans="1:8" ht="13">
      <c r="A30" s="16">
        <v>21</v>
      </c>
      <c r="B30" s="17" t="s">
        <v>64</v>
      </c>
      <c r="C30" s="17" t="s">
        <v>9</v>
      </c>
      <c r="D30" s="17">
        <v>366</v>
      </c>
      <c r="E30" s="17">
        <v>17845</v>
      </c>
      <c r="F30" s="17">
        <v>202507</v>
      </c>
      <c r="G30" s="17">
        <v>20250805</v>
      </c>
      <c r="H30">
        <f t="shared" si="0"/>
        <v>48.756830601092894</v>
      </c>
    </row>
    <row r="31" spans="1:8" ht="13">
      <c r="A31" s="18">
        <v>22</v>
      </c>
      <c r="B31" s="19" t="s">
        <v>66</v>
      </c>
      <c r="C31" s="19" t="s">
        <v>9</v>
      </c>
      <c r="D31" s="19">
        <v>85</v>
      </c>
      <c r="E31" s="19">
        <v>19419</v>
      </c>
      <c r="F31" s="19">
        <v>202507</v>
      </c>
      <c r="G31" s="19">
        <v>20250805</v>
      </c>
      <c r="H31">
        <f t="shared" si="0"/>
        <v>228.45882352941177</v>
      </c>
    </row>
    <row r="32" spans="1:8" ht="13">
      <c r="A32" s="16">
        <v>23</v>
      </c>
      <c r="B32" s="17" t="s">
        <v>68</v>
      </c>
      <c r="C32" s="17" t="s">
        <v>9</v>
      </c>
      <c r="D32" s="17">
        <v>7670</v>
      </c>
      <c r="E32" s="17">
        <v>227084</v>
      </c>
      <c r="F32" s="17">
        <v>202507</v>
      </c>
      <c r="G32" s="17">
        <v>20250805</v>
      </c>
      <c r="H32">
        <f t="shared" si="0"/>
        <v>29.606779661016951</v>
      </c>
    </row>
    <row r="33" spans="1:7" ht="13.5" thickBot="1">
      <c r="A33" s="45" t="s">
        <v>74</v>
      </c>
      <c r="B33" s="46"/>
      <c r="C33" s="46"/>
      <c r="D33" s="46">
        <v>4965193</v>
      </c>
      <c r="E33" s="46">
        <v>141359907</v>
      </c>
      <c r="F33" s="46"/>
      <c r="G33" s="46"/>
    </row>
    <row r="34" spans="1:7" ht="14.5">
      <c r="A34" s="8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722B1-E4BB-4D1A-824E-8016B1ED9AB6}">
  <dimension ref="A1:L34"/>
  <sheetViews>
    <sheetView workbookViewId="0">
      <selection activeCell="A34" sqref="A34:XFD35"/>
    </sheetView>
  </sheetViews>
  <sheetFormatPr defaultRowHeight="12.5"/>
  <cols>
    <col min="1" max="1" width="9.453125" bestFit="1" customWidth="1"/>
    <col min="2" max="2" width="33.1796875" bestFit="1" customWidth="1"/>
    <col min="3" max="3" width="7.453125" bestFit="1" customWidth="1"/>
    <col min="4" max="4" width="9.7265625" bestFit="1" customWidth="1"/>
    <col min="5" max="5" width="12.26953125" bestFit="1" customWidth="1"/>
    <col min="6" max="6" width="9.453125" bestFit="1" customWidth="1"/>
    <col min="7" max="7" width="18.08984375" bestFit="1" customWidth="1"/>
    <col min="12" max="12" width="10.26953125" bestFit="1" customWidth="1"/>
  </cols>
  <sheetData>
    <row r="1" spans="1:8" ht="15" thickBot="1">
      <c r="A1" s="56" t="s">
        <v>80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</row>
    <row r="2" spans="1:8" ht="14.5">
      <c r="A2" s="35">
        <v>2</v>
      </c>
      <c r="B2" s="36" t="s">
        <v>8</v>
      </c>
      <c r="C2" s="36" t="s">
        <v>9</v>
      </c>
      <c r="D2" s="36">
        <v>29414</v>
      </c>
      <c r="E2" s="36">
        <v>3658185</v>
      </c>
      <c r="F2" s="36">
        <v>202508</v>
      </c>
      <c r="G2" s="36">
        <v>20250908</v>
      </c>
      <c r="H2">
        <f>E2/D2</f>
        <v>124.36883796831441</v>
      </c>
    </row>
    <row r="3" spans="1:8" ht="14.5">
      <c r="A3" s="37">
        <v>3</v>
      </c>
      <c r="B3" s="38" t="s">
        <v>13</v>
      </c>
      <c r="C3" s="38" t="s">
        <v>9</v>
      </c>
      <c r="D3" s="38">
        <v>85209</v>
      </c>
      <c r="E3" s="38">
        <v>1486902</v>
      </c>
      <c r="F3" s="38">
        <v>202508</v>
      </c>
      <c r="G3" s="38">
        <v>20250908</v>
      </c>
      <c r="H3">
        <f t="shared" ref="H3:H34" si="0">E3/D3</f>
        <v>17.450058092455023</v>
      </c>
    </row>
    <row r="4" spans="1:8" ht="14.5">
      <c r="A4" s="39">
        <v>4</v>
      </c>
      <c r="B4" s="40" t="s">
        <v>15</v>
      </c>
      <c r="C4" s="40" t="s">
        <v>9</v>
      </c>
      <c r="D4" s="40">
        <v>50005</v>
      </c>
      <c r="E4" s="40">
        <v>1948417</v>
      </c>
      <c r="F4" s="40">
        <v>202508</v>
      </c>
      <c r="G4" s="40">
        <v>20250908</v>
      </c>
      <c r="H4">
        <f t="shared" si="0"/>
        <v>38.964443555644436</v>
      </c>
    </row>
    <row r="5" spans="1:8" ht="14.5">
      <c r="A5" s="37">
        <v>5</v>
      </c>
      <c r="B5" s="38" t="s">
        <v>17</v>
      </c>
      <c r="C5" s="38" t="s">
        <v>9</v>
      </c>
      <c r="D5" s="38">
        <v>53418</v>
      </c>
      <c r="E5" s="38">
        <v>1595179</v>
      </c>
      <c r="F5" s="38">
        <v>202508</v>
      </c>
      <c r="G5" s="38">
        <v>20250908</v>
      </c>
      <c r="H5">
        <f t="shared" si="0"/>
        <v>29.862200007488113</v>
      </c>
    </row>
    <row r="6" spans="1:8" ht="14.5">
      <c r="A6" s="39">
        <v>6</v>
      </c>
      <c r="B6" s="40" t="s">
        <v>19</v>
      </c>
      <c r="C6" s="40" t="s">
        <v>9</v>
      </c>
      <c r="D6" s="40">
        <v>4873</v>
      </c>
      <c r="E6" s="40">
        <v>268010</v>
      </c>
      <c r="F6" s="40">
        <v>202508</v>
      </c>
      <c r="G6" s="40">
        <v>20250908</v>
      </c>
      <c r="H6">
        <f t="shared" si="0"/>
        <v>54.998973938025856</v>
      </c>
    </row>
    <row r="7" spans="1:8" ht="14.5">
      <c r="A7" s="37">
        <v>7</v>
      </c>
      <c r="B7" s="38" t="s">
        <v>21</v>
      </c>
      <c r="C7" s="38" t="s">
        <v>9</v>
      </c>
      <c r="D7" s="38">
        <v>86081</v>
      </c>
      <c r="E7" s="38">
        <v>1993739</v>
      </c>
      <c r="F7" s="38">
        <v>202508</v>
      </c>
      <c r="G7" s="38">
        <v>20250908</v>
      </c>
      <c r="H7">
        <f t="shared" si="0"/>
        <v>23.161197012116496</v>
      </c>
    </row>
    <row r="8" spans="1:8" ht="14.5">
      <c r="A8" s="39">
        <v>8</v>
      </c>
      <c r="B8" s="40" t="s">
        <v>23</v>
      </c>
      <c r="C8" s="40" t="s">
        <v>9</v>
      </c>
      <c r="D8" s="40">
        <v>29263</v>
      </c>
      <c r="E8" s="40">
        <v>1061180</v>
      </c>
      <c r="F8" s="40">
        <v>202508</v>
      </c>
      <c r="G8" s="40">
        <v>20250908</v>
      </c>
      <c r="H8">
        <f t="shared" si="0"/>
        <v>36.263540990329084</v>
      </c>
    </row>
    <row r="9" spans="1:8" ht="14.5">
      <c r="A9" s="37" t="s">
        <v>24</v>
      </c>
      <c r="B9" s="38" t="s">
        <v>25</v>
      </c>
      <c r="C9" s="38" t="s">
        <v>9</v>
      </c>
      <c r="D9" s="38">
        <v>56774</v>
      </c>
      <c r="E9" s="38">
        <v>1919413</v>
      </c>
      <c r="F9" s="38">
        <v>202508</v>
      </c>
      <c r="G9" s="38">
        <v>20250908</v>
      </c>
      <c r="H9">
        <f t="shared" si="0"/>
        <v>33.807957868038187</v>
      </c>
    </row>
    <row r="10" spans="1:8" ht="14.5">
      <c r="A10" s="39" t="s">
        <v>26</v>
      </c>
      <c r="B10" s="40" t="s">
        <v>27</v>
      </c>
      <c r="C10" s="40" t="s">
        <v>9</v>
      </c>
      <c r="D10" s="40">
        <v>12534</v>
      </c>
      <c r="E10" s="40">
        <v>293249</v>
      </c>
      <c r="F10" s="40">
        <v>202508</v>
      </c>
      <c r="G10" s="40">
        <v>20250908</v>
      </c>
      <c r="H10">
        <f t="shared" si="0"/>
        <v>23.396282112653584</v>
      </c>
    </row>
    <row r="11" spans="1:8" ht="14.5">
      <c r="A11" s="37" t="s">
        <v>28</v>
      </c>
      <c r="B11" s="38" t="s">
        <v>29</v>
      </c>
      <c r="C11" s="38" t="s">
        <v>9</v>
      </c>
      <c r="D11" s="38">
        <v>37220</v>
      </c>
      <c r="E11" s="38">
        <v>1357688</v>
      </c>
      <c r="F11" s="38">
        <v>202508</v>
      </c>
      <c r="G11" s="38">
        <v>20250908</v>
      </c>
      <c r="H11">
        <f t="shared" si="0"/>
        <v>36.477377753895752</v>
      </c>
    </row>
    <row r="12" spans="1:8" ht="14.5">
      <c r="A12" s="39" t="s">
        <v>30</v>
      </c>
      <c r="B12" s="40" t="s">
        <v>31</v>
      </c>
      <c r="C12" s="40" t="s">
        <v>32</v>
      </c>
      <c r="D12" s="40">
        <v>868644</v>
      </c>
      <c r="E12" s="40">
        <v>22067604</v>
      </c>
      <c r="F12" s="40">
        <v>202508</v>
      </c>
      <c r="G12" s="40">
        <v>20250908</v>
      </c>
      <c r="H12">
        <f t="shared" si="0"/>
        <v>25.40465829499772</v>
      </c>
    </row>
    <row r="13" spans="1:8" ht="14.5">
      <c r="A13" s="37" t="s">
        <v>30</v>
      </c>
      <c r="B13" s="38" t="s">
        <v>31</v>
      </c>
      <c r="C13" s="38" t="s">
        <v>9</v>
      </c>
      <c r="D13" s="38">
        <v>2346651</v>
      </c>
      <c r="E13" s="38">
        <v>59862589</v>
      </c>
      <c r="F13" s="38">
        <v>202508</v>
      </c>
      <c r="G13" s="38">
        <v>20250908</v>
      </c>
      <c r="H13">
        <f t="shared" si="0"/>
        <v>25.509796301196896</v>
      </c>
    </row>
    <row r="14" spans="1:8" ht="14.5">
      <c r="A14" s="39">
        <v>10</v>
      </c>
      <c r="B14" s="40" t="s">
        <v>34</v>
      </c>
      <c r="C14" s="40" t="s">
        <v>9</v>
      </c>
      <c r="D14" s="40">
        <v>70062</v>
      </c>
      <c r="E14" s="40">
        <v>2510741</v>
      </c>
      <c r="F14" s="40">
        <v>202508</v>
      </c>
      <c r="G14" s="40">
        <v>20250908</v>
      </c>
      <c r="H14">
        <f t="shared" si="0"/>
        <v>35.835988124803748</v>
      </c>
    </row>
    <row r="15" spans="1:8" ht="14.5">
      <c r="A15" s="37">
        <v>11</v>
      </c>
      <c r="B15" s="38" t="s">
        <v>36</v>
      </c>
      <c r="C15" s="38" t="s">
        <v>9</v>
      </c>
      <c r="D15" s="38">
        <v>291297</v>
      </c>
      <c r="E15" s="38">
        <v>7820863</v>
      </c>
      <c r="F15" s="38">
        <v>202508</v>
      </c>
      <c r="G15" s="38">
        <v>20250908</v>
      </c>
      <c r="H15">
        <f t="shared" si="0"/>
        <v>26.848415877952743</v>
      </c>
    </row>
    <row r="16" spans="1:8" ht="14.5">
      <c r="A16" s="39">
        <v>12</v>
      </c>
      <c r="B16" s="40" t="s">
        <v>38</v>
      </c>
      <c r="C16" s="40" t="s">
        <v>9</v>
      </c>
      <c r="D16" s="40">
        <v>46609</v>
      </c>
      <c r="E16" s="40">
        <v>1824127</v>
      </c>
      <c r="F16" s="40">
        <v>202508</v>
      </c>
      <c r="G16" s="40">
        <v>20250908</v>
      </c>
      <c r="H16">
        <f t="shared" si="0"/>
        <v>39.136797614194684</v>
      </c>
    </row>
    <row r="17" spans="1:12" ht="14.5">
      <c r="A17" s="37">
        <v>13</v>
      </c>
      <c r="B17" s="38" t="s">
        <v>40</v>
      </c>
      <c r="C17" s="38" t="s">
        <v>32</v>
      </c>
      <c r="D17" s="38">
        <v>0</v>
      </c>
      <c r="E17" s="38">
        <v>0</v>
      </c>
      <c r="F17" s="38">
        <v>202508</v>
      </c>
      <c r="G17" s="38">
        <v>20250908</v>
      </c>
    </row>
    <row r="18" spans="1:12" ht="14.5">
      <c r="A18" s="39">
        <v>13</v>
      </c>
      <c r="B18" s="40" t="s">
        <v>40</v>
      </c>
      <c r="C18" s="40" t="s">
        <v>9</v>
      </c>
      <c r="D18" s="40">
        <v>812458</v>
      </c>
      <c r="E18" s="40">
        <v>28167901</v>
      </c>
      <c r="F18" s="40">
        <v>202508</v>
      </c>
      <c r="G18" s="40">
        <v>20250908</v>
      </c>
      <c r="H18">
        <f t="shared" si="0"/>
        <v>34.669978017325207</v>
      </c>
    </row>
    <row r="19" spans="1:12" ht="14.5">
      <c r="A19" s="37">
        <v>14</v>
      </c>
      <c r="B19" s="38" t="s">
        <v>42</v>
      </c>
      <c r="C19" s="38" t="s">
        <v>9</v>
      </c>
      <c r="D19" s="38">
        <v>46504</v>
      </c>
      <c r="E19" s="38">
        <v>1307122</v>
      </c>
      <c r="F19" s="38">
        <v>202508</v>
      </c>
      <c r="G19" s="38">
        <v>20250908</v>
      </c>
      <c r="H19">
        <f t="shared" si="0"/>
        <v>28.107732668157578</v>
      </c>
    </row>
    <row r="20" spans="1:12" ht="14.5">
      <c r="A20" s="39">
        <v>15</v>
      </c>
      <c r="B20" s="40" t="s">
        <v>44</v>
      </c>
      <c r="C20" s="40" t="s">
        <v>9</v>
      </c>
      <c r="D20" s="40">
        <v>48245</v>
      </c>
      <c r="E20" s="40">
        <v>1377878</v>
      </c>
      <c r="F20" s="40">
        <v>202508</v>
      </c>
      <c r="G20" s="40">
        <v>20250908</v>
      </c>
      <c r="H20">
        <f t="shared" si="0"/>
        <v>28.560016582029228</v>
      </c>
    </row>
    <row r="21" spans="1:12" ht="14.5">
      <c r="A21" s="37">
        <v>16</v>
      </c>
      <c r="B21" s="38" t="s">
        <v>46</v>
      </c>
      <c r="C21" s="38" t="s">
        <v>9</v>
      </c>
      <c r="D21" s="38">
        <v>2199</v>
      </c>
      <c r="E21" s="38">
        <v>109818</v>
      </c>
      <c r="F21" s="38">
        <v>202508</v>
      </c>
      <c r="G21" s="38">
        <v>20250908</v>
      </c>
      <c r="H21">
        <f t="shared" si="0"/>
        <v>49.939972714870393</v>
      </c>
    </row>
    <row r="22" spans="1:12" ht="14.5">
      <c r="A22" s="39">
        <v>17</v>
      </c>
      <c r="B22" s="40" t="s">
        <v>48</v>
      </c>
      <c r="C22" s="40" t="s">
        <v>9</v>
      </c>
      <c r="D22" s="40">
        <v>7805</v>
      </c>
      <c r="E22" s="40">
        <v>270013</v>
      </c>
      <c r="F22" s="40">
        <v>202508</v>
      </c>
      <c r="G22" s="40">
        <v>20250908</v>
      </c>
      <c r="H22">
        <f t="shared" si="0"/>
        <v>34.594875080076875</v>
      </c>
    </row>
    <row r="23" spans="1:12" ht="14.5">
      <c r="A23" s="37">
        <v>18</v>
      </c>
      <c r="B23" s="38" t="s">
        <v>50</v>
      </c>
      <c r="C23" s="38" t="s">
        <v>9</v>
      </c>
      <c r="D23" s="38">
        <v>18693</v>
      </c>
      <c r="E23" s="38">
        <v>525026</v>
      </c>
      <c r="F23" s="38">
        <v>202508</v>
      </c>
      <c r="G23" s="38">
        <v>20250908</v>
      </c>
      <c r="H23">
        <f t="shared" si="0"/>
        <v>28.086770448831114</v>
      </c>
    </row>
    <row r="24" spans="1:12" ht="14.5">
      <c r="A24" s="39" t="s">
        <v>51</v>
      </c>
      <c r="B24" s="40" t="s">
        <v>52</v>
      </c>
      <c r="C24" s="40" t="s">
        <v>9</v>
      </c>
      <c r="D24" s="40">
        <v>8478</v>
      </c>
      <c r="E24" s="40">
        <v>423170</v>
      </c>
      <c r="F24" s="40">
        <v>202508</v>
      </c>
      <c r="G24" s="40">
        <v>20250908</v>
      </c>
      <c r="H24">
        <f t="shared" si="0"/>
        <v>49.913894786506255</v>
      </c>
    </row>
    <row r="25" spans="1:12" ht="14.5">
      <c r="A25" s="37" t="s">
        <v>53</v>
      </c>
      <c r="B25" s="38" t="s">
        <v>54</v>
      </c>
      <c r="C25" s="38" t="s">
        <v>9</v>
      </c>
      <c r="D25" s="38">
        <v>1249</v>
      </c>
      <c r="E25" s="38">
        <v>76191</v>
      </c>
      <c r="F25" s="38">
        <v>202508</v>
      </c>
      <c r="G25" s="38">
        <v>20250908</v>
      </c>
      <c r="H25">
        <f t="shared" si="0"/>
        <v>61.001601281024818</v>
      </c>
    </row>
    <row r="26" spans="1:12" ht="14.5">
      <c r="A26" s="39" t="s">
        <v>55</v>
      </c>
      <c r="B26" s="40" t="s">
        <v>56</v>
      </c>
      <c r="C26" s="40" t="s">
        <v>9</v>
      </c>
      <c r="D26" s="40">
        <v>5526</v>
      </c>
      <c r="E26" s="40">
        <v>308092</v>
      </c>
      <c r="F26" s="40">
        <v>202508</v>
      </c>
      <c r="G26" s="40">
        <v>20250908</v>
      </c>
      <c r="H26">
        <f t="shared" si="0"/>
        <v>55.753166847629387</v>
      </c>
    </row>
    <row r="27" spans="1:12" ht="14.5">
      <c r="A27" s="37" t="s">
        <v>57</v>
      </c>
      <c r="B27" s="38" t="s">
        <v>58</v>
      </c>
      <c r="C27" s="38" t="s">
        <v>9</v>
      </c>
      <c r="D27" s="38">
        <v>7328</v>
      </c>
      <c r="E27" s="38">
        <v>232064</v>
      </c>
      <c r="F27" s="38">
        <v>202508</v>
      </c>
      <c r="G27" s="38">
        <v>20250908</v>
      </c>
      <c r="H27">
        <f t="shared" si="0"/>
        <v>31.668122270742359</v>
      </c>
      <c r="K27">
        <v>4179833</v>
      </c>
      <c r="L27">
        <v>121691865</v>
      </c>
    </row>
    <row r="28" spans="1:12" ht="14.5">
      <c r="A28" s="39" t="s">
        <v>59</v>
      </c>
      <c r="B28" s="40" t="s">
        <v>60</v>
      </c>
      <c r="C28" s="40" t="s">
        <v>9</v>
      </c>
      <c r="D28" s="40">
        <v>10242</v>
      </c>
      <c r="E28" s="40">
        <v>152925</v>
      </c>
      <c r="F28" s="40">
        <v>202508</v>
      </c>
      <c r="G28" s="40">
        <v>20250908</v>
      </c>
      <c r="H28">
        <f t="shared" si="0"/>
        <v>14.931165787932045</v>
      </c>
    </row>
    <row r="29" spans="1:12" ht="14.5">
      <c r="A29" s="37">
        <v>20</v>
      </c>
      <c r="B29" s="38" t="s">
        <v>62</v>
      </c>
      <c r="C29" s="38" t="s">
        <v>9</v>
      </c>
      <c r="D29" s="38">
        <v>3434</v>
      </c>
      <c r="E29" s="38">
        <v>879400</v>
      </c>
      <c r="F29" s="38">
        <v>202508</v>
      </c>
      <c r="G29" s="38">
        <v>20250908</v>
      </c>
      <c r="H29">
        <f t="shared" si="0"/>
        <v>256.08619685497962</v>
      </c>
    </row>
    <row r="30" spans="1:12" ht="14.5">
      <c r="A30" s="39">
        <v>21</v>
      </c>
      <c r="B30" s="40" t="s">
        <v>64</v>
      </c>
      <c r="C30" s="40" t="s">
        <v>9</v>
      </c>
      <c r="D30" s="40">
        <v>296</v>
      </c>
      <c r="E30" s="40">
        <v>16467</v>
      </c>
      <c r="F30" s="40">
        <v>202508</v>
      </c>
      <c r="G30" s="40">
        <v>20250908</v>
      </c>
      <c r="H30">
        <f t="shared" si="0"/>
        <v>55.631756756756758</v>
      </c>
    </row>
    <row r="31" spans="1:12" ht="14.5">
      <c r="A31" s="37">
        <v>22</v>
      </c>
      <c r="B31" s="38" t="s">
        <v>66</v>
      </c>
      <c r="C31" s="38" t="s">
        <v>9</v>
      </c>
      <c r="D31" s="38">
        <v>53</v>
      </c>
      <c r="E31" s="38">
        <v>16460</v>
      </c>
      <c r="F31" s="38">
        <v>202508</v>
      </c>
      <c r="G31" s="38">
        <v>20250908</v>
      </c>
      <c r="H31">
        <f t="shared" si="0"/>
        <v>310.56603773584908</v>
      </c>
    </row>
    <row r="32" spans="1:12" ht="14.5">
      <c r="A32" s="39">
        <v>23</v>
      </c>
      <c r="B32" s="40" t="s">
        <v>68</v>
      </c>
      <c r="C32" s="40" t="s">
        <v>9</v>
      </c>
      <c r="D32" s="40">
        <v>7913</v>
      </c>
      <c r="E32" s="40">
        <v>229056</v>
      </c>
      <c r="F32" s="40">
        <v>202508</v>
      </c>
      <c r="G32" s="40">
        <v>20250908</v>
      </c>
      <c r="H32">
        <f t="shared" si="0"/>
        <v>28.946796410969291</v>
      </c>
    </row>
    <row r="33" spans="1:8" ht="15" thickBot="1">
      <c r="A33" s="41" t="s">
        <v>74</v>
      </c>
      <c r="B33" s="42"/>
      <c r="C33" s="42"/>
      <c r="D33" s="42">
        <v>5048477</v>
      </c>
      <c r="E33" s="42">
        <v>143759469</v>
      </c>
      <c r="F33" s="42"/>
      <c r="G33" s="42"/>
      <c r="H33">
        <f t="shared" si="0"/>
        <v>28.47580943718274</v>
      </c>
    </row>
    <row r="34" spans="1:8" ht="14.5">
      <c r="A34" s="8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97335-893A-4B96-B154-56D8613F2442}">
  <dimension ref="A1:K35"/>
  <sheetViews>
    <sheetView workbookViewId="0">
      <selection activeCell="A35" sqref="A35:XFD36"/>
    </sheetView>
  </sheetViews>
  <sheetFormatPr defaultRowHeight="12.5"/>
  <cols>
    <col min="1" max="1" width="8.54296875" bestFit="1" customWidth="1"/>
    <col min="2" max="2" width="30" bestFit="1" customWidth="1"/>
    <col min="3" max="3" width="7.453125" bestFit="1" customWidth="1"/>
    <col min="4" max="4" width="9.453125" bestFit="1" customWidth="1"/>
    <col min="5" max="5" width="11.1796875" bestFit="1" customWidth="1"/>
    <col min="6" max="6" width="9.453125" bestFit="1" customWidth="1"/>
    <col min="7" max="7" width="18.08984375" bestFit="1" customWidth="1"/>
    <col min="11" max="11" width="10.26953125" bestFit="1" customWidth="1"/>
  </cols>
  <sheetData>
    <row r="1" spans="1:7" ht="15" thickBot="1">
      <c r="A1" s="33" t="s">
        <v>80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</row>
    <row r="2" spans="1:7" ht="13">
      <c r="A2" s="43">
        <v>2</v>
      </c>
      <c r="B2" s="44" t="s">
        <v>8</v>
      </c>
      <c r="C2" s="44" t="s">
        <v>9</v>
      </c>
      <c r="D2" s="44">
        <v>27499</v>
      </c>
      <c r="E2" s="44">
        <v>3302537</v>
      </c>
      <c r="F2" s="44">
        <v>202511</v>
      </c>
      <c r="G2" s="44">
        <v>20251203</v>
      </c>
    </row>
    <row r="3" spans="1:7" ht="13">
      <c r="A3" s="18">
        <v>3</v>
      </c>
      <c r="B3" s="19" t="s">
        <v>13</v>
      </c>
      <c r="C3" s="19" t="s">
        <v>9</v>
      </c>
      <c r="D3" s="19">
        <v>121191</v>
      </c>
      <c r="E3" s="19">
        <v>2137720</v>
      </c>
      <c r="F3" s="19">
        <v>202511</v>
      </c>
      <c r="G3" s="19">
        <v>20251203</v>
      </c>
    </row>
    <row r="4" spans="1:7" ht="13">
      <c r="A4" s="16">
        <v>4</v>
      </c>
      <c r="B4" s="17" t="s">
        <v>15</v>
      </c>
      <c r="C4" s="17" t="s">
        <v>9</v>
      </c>
      <c r="D4" s="17">
        <v>59808</v>
      </c>
      <c r="E4" s="17">
        <v>2127519</v>
      </c>
      <c r="F4" s="17">
        <v>202511</v>
      </c>
      <c r="G4" s="17">
        <v>20251203</v>
      </c>
    </row>
    <row r="5" spans="1:7" ht="13">
      <c r="A5" s="18">
        <v>5</v>
      </c>
      <c r="B5" s="19" t="s">
        <v>17</v>
      </c>
      <c r="C5" s="19" t="s">
        <v>9</v>
      </c>
      <c r="D5" s="19">
        <v>87738</v>
      </c>
      <c r="E5" s="19">
        <v>2458025</v>
      </c>
      <c r="F5" s="19">
        <v>202511</v>
      </c>
      <c r="G5" s="19">
        <v>20251203</v>
      </c>
    </row>
    <row r="6" spans="1:7" ht="13">
      <c r="A6" s="16">
        <v>6</v>
      </c>
      <c r="B6" s="17" t="s">
        <v>19</v>
      </c>
      <c r="C6" s="17" t="s">
        <v>9</v>
      </c>
      <c r="D6" s="17">
        <v>5875</v>
      </c>
      <c r="E6" s="17">
        <v>310579</v>
      </c>
      <c r="F6" s="17">
        <v>202511</v>
      </c>
      <c r="G6" s="17">
        <v>20251203</v>
      </c>
    </row>
    <row r="7" spans="1:7" ht="13">
      <c r="A7" s="18">
        <v>7</v>
      </c>
      <c r="B7" s="19" t="s">
        <v>21</v>
      </c>
      <c r="C7" s="19" t="s">
        <v>9</v>
      </c>
      <c r="D7" s="19">
        <v>107124</v>
      </c>
      <c r="E7" s="19">
        <v>2501961</v>
      </c>
      <c r="F7" s="19">
        <v>202511</v>
      </c>
      <c r="G7" s="19">
        <v>20251203</v>
      </c>
    </row>
    <row r="8" spans="1:7" ht="13">
      <c r="A8" s="16">
        <v>8</v>
      </c>
      <c r="B8" s="17" t="s">
        <v>23</v>
      </c>
      <c r="C8" s="17" t="s">
        <v>9</v>
      </c>
      <c r="D8" s="17">
        <v>39524</v>
      </c>
      <c r="E8" s="17">
        <v>1424873</v>
      </c>
      <c r="F8" s="17">
        <v>202511</v>
      </c>
      <c r="G8" s="17">
        <v>20251203</v>
      </c>
    </row>
    <row r="9" spans="1:7" ht="13">
      <c r="A9" s="18" t="s">
        <v>24</v>
      </c>
      <c r="B9" s="19" t="s">
        <v>25</v>
      </c>
      <c r="C9" s="19" t="s">
        <v>9</v>
      </c>
      <c r="D9" s="19">
        <v>71034</v>
      </c>
      <c r="E9" s="19">
        <v>2299814</v>
      </c>
      <c r="F9" s="19">
        <v>202511</v>
      </c>
      <c r="G9" s="19">
        <v>20251203</v>
      </c>
    </row>
    <row r="10" spans="1:7" ht="13">
      <c r="A10" s="16" t="s">
        <v>26</v>
      </c>
      <c r="B10" s="17" t="s">
        <v>27</v>
      </c>
      <c r="C10" s="17" t="s">
        <v>9</v>
      </c>
      <c r="D10" s="17">
        <v>16212</v>
      </c>
      <c r="E10" s="17">
        <v>355244</v>
      </c>
      <c r="F10" s="17">
        <v>202511</v>
      </c>
      <c r="G10" s="17">
        <v>20251203</v>
      </c>
    </row>
    <row r="11" spans="1:7" ht="13">
      <c r="A11" s="18" t="s">
        <v>28</v>
      </c>
      <c r="B11" s="19" t="s">
        <v>29</v>
      </c>
      <c r="C11" s="19" t="s">
        <v>9</v>
      </c>
      <c r="D11" s="19">
        <v>43723</v>
      </c>
      <c r="E11" s="19">
        <v>1671412</v>
      </c>
      <c r="F11" s="19">
        <v>202511</v>
      </c>
      <c r="G11" s="19">
        <v>20251203</v>
      </c>
    </row>
    <row r="12" spans="1:7" ht="13">
      <c r="A12" s="16" t="s">
        <v>30</v>
      </c>
      <c r="B12" s="17" t="s">
        <v>31</v>
      </c>
      <c r="C12" s="17" t="s">
        <v>32</v>
      </c>
      <c r="D12" s="17">
        <v>1074859</v>
      </c>
      <c r="E12" s="17">
        <v>25440356</v>
      </c>
      <c r="F12" s="17">
        <v>202511</v>
      </c>
      <c r="G12" s="17">
        <v>20251203</v>
      </c>
    </row>
    <row r="13" spans="1:7" ht="13">
      <c r="A13" s="18" t="s">
        <v>30</v>
      </c>
      <c r="B13" s="19" t="s">
        <v>31</v>
      </c>
      <c r="C13" s="19" t="s">
        <v>9</v>
      </c>
      <c r="D13" s="19">
        <v>3230474</v>
      </c>
      <c r="E13" s="19">
        <v>79231764</v>
      </c>
      <c r="F13" s="19">
        <v>202511</v>
      </c>
      <c r="G13" s="19">
        <v>20251203</v>
      </c>
    </row>
    <row r="14" spans="1:7" ht="13">
      <c r="A14" s="16">
        <v>10</v>
      </c>
      <c r="B14" s="17" t="s">
        <v>34</v>
      </c>
      <c r="C14" s="17" t="s">
        <v>9</v>
      </c>
      <c r="D14" s="17">
        <v>144888</v>
      </c>
      <c r="E14" s="17">
        <v>4701728</v>
      </c>
      <c r="F14" s="17">
        <v>202511</v>
      </c>
      <c r="G14" s="17">
        <v>20251203</v>
      </c>
    </row>
    <row r="15" spans="1:7" ht="13">
      <c r="A15" s="18">
        <v>11</v>
      </c>
      <c r="B15" s="19" t="s">
        <v>36</v>
      </c>
      <c r="C15" s="19" t="s">
        <v>9</v>
      </c>
      <c r="D15" s="19">
        <v>441394</v>
      </c>
      <c r="E15" s="19">
        <v>10981858</v>
      </c>
      <c r="F15" s="19">
        <v>202511</v>
      </c>
      <c r="G15" s="19">
        <v>20251203</v>
      </c>
    </row>
    <row r="16" spans="1:7" ht="13">
      <c r="A16" s="16">
        <v>12</v>
      </c>
      <c r="B16" s="17" t="s">
        <v>38</v>
      </c>
      <c r="C16" s="17" t="s">
        <v>9</v>
      </c>
      <c r="D16" s="17">
        <v>122937</v>
      </c>
      <c r="E16" s="17">
        <v>4344425</v>
      </c>
      <c r="F16" s="17">
        <v>202511</v>
      </c>
      <c r="G16" s="17">
        <v>20251203</v>
      </c>
    </row>
    <row r="17" spans="1:11" ht="13">
      <c r="A17" s="18">
        <v>13</v>
      </c>
      <c r="B17" s="19" t="s">
        <v>40</v>
      </c>
      <c r="C17" s="19" t="s">
        <v>32</v>
      </c>
      <c r="D17" s="19">
        <v>0</v>
      </c>
      <c r="E17" s="19">
        <v>0</v>
      </c>
      <c r="F17" s="19">
        <v>202511</v>
      </c>
      <c r="G17" s="19">
        <v>20251203</v>
      </c>
    </row>
    <row r="18" spans="1:11" ht="13">
      <c r="A18" s="16">
        <v>13</v>
      </c>
      <c r="B18" s="17" t="s">
        <v>40</v>
      </c>
      <c r="C18" s="17" t="s">
        <v>9</v>
      </c>
      <c r="D18" s="17">
        <v>1012974</v>
      </c>
      <c r="E18" s="17">
        <v>34224416</v>
      </c>
      <c r="F18" s="17">
        <v>202511</v>
      </c>
      <c r="G18" s="17">
        <v>20251203</v>
      </c>
    </row>
    <row r="19" spans="1:11" ht="13">
      <c r="A19" s="18">
        <v>14</v>
      </c>
      <c r="B19" s="19" t="s">
        <v>42</v>
      </c>
      <c r="C19" s="19" t="s">
        <v>9</v>
      </c>
      <c r="D19" s="19">
        <v>104414</v>
      </c>
      <c r="E19" s="19">
        <v>2701647</v>
      </c>
      <c r="F19" s="19">
        <v>202511</v>
      </c>
      <c r="G19" s="19">
        <v>20251203</v>
      </c>
    </row>
    <row r="20" spans="1:11" ht="13">
      <c r="A20" s="16">
        <v>15</v>
      </c>
      <c r="B20" s="17" t="s">
        <v>44</v>
      </c>
      <c r="C20" s="17" t="s">
        <v>9</v>
      </c>
      <c r="D20" s="17">
        <v>111962</v>
      </c>
      <c r="E20" s="17">
        <v>2928878</v>
      </c>
      <c r="F20" s="17">
        <v>202511</v>
      </c>
      <c r="G20" s="17">
        <v>20251203</v>
      </c>
    </row>
    <row r="21" spans="1:11" ht="13">
      <c r="A21" s="18">
        <v>16</v>
      </c>
      <c r="B21" s="19" t="s">
        <v>46</v>
      </c>
      <c r="C21" s="19" t="s">
        <v>9</v>
      </c>
      <c r="D21" s="19">
        <v>7310</v>
      </c>
      <c r="E21" s="19">
        <v>344005</v>
      </c>
      <c r="F21" s="19">
        <v>202511</v>
      </c>
      <c r="G21" s="19">
        <v>20251203</v>
      </c>
    </row>
    <row r="22" spans="1:11" ht="13">
      <c r="A22" s="16">
        <v>17</v>
      </c>
      <c r="B22" s="17" t="s">
        <v>48</v>
      </c>
      <c r="C22" s="17" t="s">
        <v>9</v>
      </c>
      <c r="D22" s="17">
        <v>8852</v>
      </c>
      <c r="E22" s="17">
        <v>296715</v>
      </c>
      <c r="F22" s="17">
        <v>202511</v>
      </c>
      <c r="G22" s="17">
        <v>20251203</v>
      </c>
    </row>
    <row r="23" spans="1:11" ht="13">
      <c r="A23" s="18">
        <v>18</v>
      </c>
      <c r="B23" s="19" t="s">
        <v>50</v>
      </c>
      <c r="C23" s="19" t="s">
        <v>9</v>
      </c>
      <c r="D23" s="19">
        <v>40212</v>
      </c>
      <c r="E23" s="19">
        <v>1092713</v>
      </c>
      <c r="F23" s="19">
        <v>202511</v>
      </c>
      <c r="G23" s="19">
        <v>20251203</v>
      </c>
    </row>
    <row r="24" spans="1:11" ht="13">
      <c r="A24" s="16" t="s">
        <v>51</v>
      </c>
      <c r="B24" s="17" t="s">
        <v>52</v>
      </c>
      <c r="C24" s="17" t="s">
        <v>9</v>
      </c>
      <c r="D24" s="17">
        <v>10555</v>
      </c>
      <c r="E24" s="17">
        <v>488510</v>
      </c>
      <c r="F24" s="17">
        <v>202511</v>
      </c>
      <c r="G24" s="17">
        <v>20251203</v>
      </c>
    </row>
    <row r="25" spans="1:11" ht="13">
      <c r="A25" s="18" t="s">
        <v>53</v>
      </c>
      <c r="B25" s="19" t="s">
        <v>54</v>
      </c>
      <c r="C25" s="19" t="s">
        <v>9</v>
      </c>
      <c r="D25" s="19">
        <v>1357</v>
      </c>
      <c r="E25" s="19">
        <v>78196</v>
      </c>
      <c r="F25" s="19">
        <v>202511</v>
      </c>
      <c r="G25" s="19">
        <v>20251203</v>
      </c>
    </row>
    <row r="26" spans="1:11" ht="13">
      <c r="A26" s="16" t="s">
        <v>55</v>
      </c>
      <c r="B26" s="17" t="s">
        <v>56</v>
      </c>
      <c r="C26" s="17" t="s">
        <v>9</v>
      </c>
      <c r="D26" s="17">
        <v>11997</v>
      </c>
      <c r="E26" s="17">
        <v>586948</v>
      </c>
      <c r="F26" s="17">
        <v>202511</v>
      </c>
      <c r="G26" s="17">
        <v>20251203</v>
      </c>
    </row>
    <row r="27" spans="1:11" ht="13">
      <c r="A27" s="18" t="s">
        <v>57</v>
      </c>
      <c r="B27" s="19" t="s">
        <v>58</v>
      </c>
      <c r="C27" s="19" t="s">
        <v>9</v>
      </c>
      <c r="D27" s="19">
        <v>15085</v>
      </c>
      <c r="E27" s="19">
        <v>427728</v>
      </c>
      <c r="F27" s="19">
        <v>202511</v>
      </c>
      <c r="G27" s="19">
        <v>20251203</v>
      </c>
    </row>
    <row r="28" spans="1:11" ht="13">
      <c r="A28" s="16" t="s">
        <v>59</v>
      </c>
      <c r="B28" s="17" t="s">
        <v>60</v>
      </c>
      <c r="C28" s="17" t="s">
        <v>9</v>
      </c>
      <c r="D28" s="17">
        <v>20545</v>
      </c>
      <c r="E28" s="17">
        <v>311005</v>
      </c>
      <c r="F28" s="17">
        <v>202511</v>
      </c>
      <c r="G28" s="17">
        <v>20251203</v>
      </c>
      <c r="J28">
        <v>5945828</v>
      </c>
      <c r="K28">
        <v>165596625</v>
      </c>
    </row>
    <row r="29" spans="1:11" ht="13">
      <c r="A29" s="18">
        <v>20</v>
      </c>
      <c r="B29" s="19" t="s">
        <v>62</v>
      </c>
      <c r="C29" s="19" t="s">
        <v>9</v>
      </c>
      <c r="D29" s="19">
        <v>4083</v>
      </c>
      <c r="E29" s="19">
        <v>903608</v>
      </c>
      <c r="F29" s="19">
        <v>202511</v>
      </c>
      <c r="G29" s="19">
        <v>20251203</v>
      </c>
    </row>
    <row r="30" spans="1:11" ht="13">
      <c r="A30" s="16">
        <v>21</v>
      </c>
      <c r="B30" s="17" t="s">
        <v>64</v>
      </c>
      <c r="C30" s="17" t="s">
        <v>9</v>
      </c>
      <c r="D30" s="17">
        <v>257</v>
      </c>
      <c r="E30" s="17">
        <v>11885</v>
      </c>
      <c r="F30" s="17">
        <v>202511</v>
      </c>
      <c r="G30" s="17">
        <v>20251203</v>
      </c>
    </row>
    <row r="31" spans="1:11" ht="13">
      <c r="A31" s="18">
        <v>22</v>
      </c>
      <c r="B31" s="19" t="s">
        <v>66</v>
      </c>
      <c r="C31" s="19" t="s">
        <v>9</v>
      </c>
      <c r="D31" s="19">
        <v>45</v>
      </c>
      <c r="E31" s="19">
        <v>10995</v>
      </c>
      <c r="F31" s="19">
        <v>202511</v>
      </c>
      <c r="G31" s="19">
        <v>20251203</v>
      </c>
    </row>
    <row r="32" spans="1:11" ht="13">
      <c r="A32" s="16">
        <v>23</v>
      </c>
      <c r="B32" s="17" t="s">
        <v>68</v>
      </c>
      <c r="C32" s="17" t="s">
        <v>9</v>
      </c>
      <c r="D32" s="17">
        <v>13337</v>
      </c>
      <c r="E32" s="17">
        <v>355720</v>
      </c>
      <c r="F32" s="17">
        <v>202511</v>
      </c>
      <c r="G32" s="17">
        <v>20251203</v>
      </c>
    </row>
    <row r="33" spans="1:7" ht="13">
      <c r="A33" s="18">
        <v>26</v>
      </c>
      <c r="B33" s="19" t="s">
        <v>77</v>
      </c>
      <c r="C33" s="19" t="s">
        <v>9</v>
      </c>
      <c r="D33" s="19">
        <v>63422</v>
      </c>
      <c r="E33" s="19">
        <v>2984197</v>
      </c>
      <c r="F33" s="19">
        <v>202511</v>
      </c>
      <c r="G33" s="19">
        <v>20251203</v>
      </c>
    </row>
    <row r="34" spans="1:7" ht="13.5" thickBot="1">
      <c r="A34" s="45" t="s">
        <v>74</v>
      </c>
      <c r="B34" s="46"/>
      <c r="C34" s="46"/>
      <c r="D34" s="46">
        <v>7020687</v>
      </c>
      <c r="E34" s="46">
        <v>191036981</v>
      </c>
      <c r="F34" s="46"/>
      <c r="G34" s="46"/>
    </row>
    <row r="35" spans="1:7" ht="14.5">
      <c r="A35" s="8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7E73E-CD84-4F30-A0B7-CBD4531E6218}">
  <dimension ref="A1:K37"/>
  <sheetViews>
    <sheetView workbookViewId="0">
      <selection activeCell="A37" sqref="A37:XFD38"/>
    </sheetView>
  </sheetViews>
  <sheetFormatPr defaultRowHeight="12.5"/>
  <cols>
    <col min="1" max="1" width="8.81640625" bestFit="1" customWidth="1"/>
    <col min="2" max="2" width="30" bestFit="1" customWidth="1"/>
    <col min="4" max="4" width="8.90625" bestFit="1" customWidth="1"/>
    <col min="5" max="5" width="11.1796875" bestFit="1" customWidth="1"/>
    <col min="6" max="6" width="8.81640625" bestFit="1" customWidth="1"/>
    <col min="7" max="7" width="18.08984375" bestFit="1" customWidth="1"/>
    <col min="11" max="11" width="10.26953125" bestFit="1" customWidth="1"/>
  </cols>
  <sheetData>
    <row r="1" spans="1:7" ht="15" thickBot="1">
      <c r="A1" s="33" t="s">
        <v>80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</row>
    <row r="2" spans="1:7" ht="13">
      <c r="A2" s="43">
        <v>2</v>
      </c>
      <c r="B2" s="44" t="s">
        <v>8</v>
      </c>
      <c r="C2" s="44" t="s">
        <v>9</v>
      </c>
      <c r="D2" s="44">
        <v>31333</v>
      </c>
      <c r="E2" s="44">
        <v>3739273</v>
      </c>
      <c r="F2" s="44">
        <v>202512</v>
      </c>
      <c r="G2" s="44">
        <v>20260102</v>
      </c>
    </row>
    <row r="3" spans="1:7" ht="13">
      <c r="A3" s="18">
        <v>3</v>
      </c>
      <c r="B3" s="19" t="s">
        <v>13</v>
      </c>
      <c r="C3" s="19" t="s">
        <v>9</v>
      </c>
      <c r="D3" s="19">
        <v>132252</v>
      </c>
      <c r="E3" s="19">
        <v>2327584</v>
      </c>
      <c r="F3" s="19">
        <v>202512</v>
      </c>
      <c r="G3" s="19">
        <v>20260102</v>
      </c>
    </row>
    <row r="4" spans="1:7" ht="13">
      <c r="A4" s="16">
        <v>4</v>
      </c>
      <c r="B4" s="17" t="s">
        <v>15</v>
      </c>
      <c r="C4" s="17" t="s">
        <v>9</v>
      </c>
      <c r="D4" s="17">
        <v>66651</v>
      </c>
      <c r="E4" s="17">
        <v>2360865</v>
      </c>
      <c r="F4" s="17">
        <v>202512</v>
      </c>
      <c r="G4" s="17">
        <v>20260102</v>
      </c>
    </row>
    <row r="5" spans="1:7" ht="13">
      <c r="A5" s="18">
        <v>5</v>
      </c>
      <c r="B5" s="19" t="s">
        <v>17</v>
      </c>
      <c r="C5" s="19" t="s">
        <v>9</v>
      </c>
      <c r="D5" s="19">
        <v>96704</v>
      </c>
      <c r="E5" s="19">
        <v>2699839</v>
      </c>
      <c r="F5" s="19">
        <v>202512</v>
      </c>
      <c r="G5" s="19">
        <v>20260102</v>
      </c>
    </row>
    <row r="6" spans="1:7" ht="13">
      <c r="A6" s="16">
        <v>6</v>
      </c>
      <c r="B6" s="17" t="s">
        <v>19</v>
      </c>
      <c r="C6" s="17" t="s">
        <v>9</v>
      </c>
      <c r="D6" s="17">
        <v>6284</v>
      </c>
      <c r="E6" s="17">
        <v>345489</v>
      </c>
      <c r="F6" s="17">
        <v>202512</v>
      </c>
      <c r="G6" s="17">
        <v>20260102</v>
      </c>
    </row>
    <row r="7" spans="1:7" ht="13">
      <c r="A7" s="18">
        <v>7</v>
      </c>
      <c r="B7" s="19" t="s">
        <v>21</v>
      </c>
      <c r="C7" s="19" t="s">
        <v>9</v>
      </c>
      <c r="D7" s="19">
        <v>115891</v>
      </c>
      <c r="E7" s="19">
        <v>2699390</v>
      </c>
      <c r="F7" s="19">
        <v>202512</v>
      </c>
      <c r="G7" s="19">
        <v>20260102</v>
      </c>
    </row>
    <row r="8" spans="1:7" ht="13">
      <c r="A8" s="16">
        <v>8</v>
      </c>
      <c r="B8" s="17" t="s">
        <v>23</v>
      </c>
      <c r="C8" s="17" t="s">
        <v>9</v>
      </c>
      <c r="D8" s="17">
        <v>44011</v>
      </c>
      <c r="E8" s="17">
        <v>1596592</v>
      </c>
      <c r="F8" s="17">
        <v>202512</v>
      </c>
      <c r="G8" s="17">
        <v>20260102</v>
      </c>
    </row>
    <row r="9" spans="1:7" ht="13">
      <c r="A9" s="18" t="s">
        <v>24</v>
      </c>
      <c r="B9" s="19" t="s">
        <v>25</v>
      </c>
      <c r="C9" s="19" t="s">
        <v>9</v>
      </c>
      <c r="D9" s="19">
        <v>80135</v>
      </c>
      <c r="E9" s="19">
        <v>2573208</v>
      </c>
      <c r="F9" s="19">
        <v>202512</v>
      </c>
      <c r="G9" s="19">
        <v>20260102</v>
      </c>
    </row>
    <row r="10" spans="1:7" ht="13">
      <c r="A10" s="16" t="s">
        <v>26</v>
      </c>
      <c r="B10" s="17" t="s">
        <v>27</v>
      </c>
      <c r="C10" s="17" t="s">
        <v>9</v>
      </c>
      <c r="D10" s="17">
        <v>18155</v>
      </c>
      <c r="E10" s="17">
        <v>399206</v>
      </c>
      <c r="F10" s="17">
        <v>202512</v>
      </c>
      <c r="G10" s="17">
        <v>20260102</v>
      </c>
    </row>
    <row r="11" spans="1:7" ht="13">
      <c r="A11" s="18" t="s">
        <v>28</v>
      </c>
      <c r="B11" s="19" t="s">
        <v>29</v>
      </c>
      <c r="C11" s="19" t="s">
        <v>9</v>
      </c>
      <c r="D11" s="19">
        <v>48434</v>
      </c>
      <c r="E11" s="19">
        <v>1859807</v>
      </c>
      <c r="F11" s="19">
        <v>202512</v>
      </c>
      <c r="G11" s="19">
        <v>20260102</v>
      </c>
    </row>
    <row r="12" spans="1:7" ht="13">
      <c r="A12" s="16" t="s">
        <v>30</v>
      </c>
      <c r="B12" s="17" t="s">
        <v>31</v>
      </c>
      <c r="C12" s="17" t="s">
        <v>32</v>
      </c>
      <c r="D12" s="17">
        <v>1196202</v>
      </c>
      <c r="E12" s="17">
        <v>28328051</v>
      </c>
      <c r="F12" s="17">
        <v>202512</v>
      </c>
      <c r="G12" s="17">
        <v>20260102</v>
      </c>
    </row>
    <row r="13" spans="1:7" ht="13">
      <c r="A13" s="18" t="s">
        <v>30</v>
      </c>
      <c r="B13" s="19" t="s">
        <v>31</v>
      </c>
      <c r="C13" s="19" t="s">
        <v>9</v>
      </c>
      <c r="D13" s="19">
        <v>3584960</v>
      </c>
      <c r="E13" s="19">
        <v>88078504</v>
      </c>
      <c r="F13" s="19">
        <v>202512</v>
      </c>
      <c r="G13" s="19">
        <v>20260102</v>
      </c>
    </row>
    <row r="14" spans="1:7" ht="13">
      <c r="A14" s="16">
        <v>10</v>
      </c>
      <c r="B14" s="17" t="s">
        <v>34</v>
      </c>
      <c r="C14" s="17" t="s">
        <v>9</v>
      </c>
      <c r="D14" s="17">
        <v>160840</v>
      </c>
      <c r="E14" s="17">
        <v>5203221</v>
      </c>
      <c r="F14" s="17">
        <v>202512</v>
      </c>
      <c r="G14" s="17">
        <v>20260102</v>
      </c>
    </row>
    <row r="15" spans="1:7" ht="13">
      <c r="A15" s="18">
        <v>11</v>
      </c>
      <c r="B15" s="19" t="s">
        <v>36</v>
      </c>
      <c r="C15" s="19" t="s">
        <v>9</v>
      </c>
      <c r="D15" s="19">
        <v>497222</v>
      </c>
      <c r="E15" s="19">
        <v>12306007</v>
      </c>
      <c r="F15" s="19">
        <v>202512</v>
      </c>
      <c r="G15" s="19">
        <v>20260102</v>
      </c>
    </row>
    <row r="16" spans="1:7" ht="13">
      <c r="A16" s="16">
        <v>12</v>
      </c>
      <c r="B16" s="17" t="s">
        <v>38</v>
      </c>
      <c r="C16" s="17" t="s">
        <v>9</v>
      </c>
      <c r="D16" s="17">
        <v>135668</v>
      </c>
      <c r="E16" s="17">
        <v>4768826</v>
      </c>
      <c r="F16" s="17">
        <v>202512</v>
      </c>
      <c r="G16" s="17">
        <v>20260102</v>
      </c>
    </row>
    <row r="17" spans="1:11" ht="13">
      <c r="A17" s="18">
        <v>13</v>
      </c>
      <c r="B17" s="19" t="s">
        <v>40</v>
      </c>
      <c r="C17" s="19" t="s">
        <v>32</v>
      </c>
      <c r="D17" s="19">
        <v>0</v>
      </c>
      <c r="E17" s="19">
        <v>0</v>
      </c>
      <c r="F17" s="19">
        <v>202512</v>
      </c>
      <c r="G17" s="19">
        <v>20260102</v>
      </c>
    </row>
    <row r="18" spans="1:11" ht="13">
      <c r="A18" s="16">
        <v>13</v>
      </c>
      <c r="B18" s="17" t="s">
        <v>40</v>
      </c>
      <c r="C18" s="17" t="s">
        <v>9</v>
      </c>
      <c r="D18" s="17">
        <v>1133231</v>
      </c>
      <c r="E18" s="17">
        <v>38214317</v>
      </c>
      <c r="F18" s="17">
        <v>202512</v>
      </c>
      <c r="G18" s="17">
        <v>20260102</v>
      </c>
    </row>
    <row r="19" spans="1:11" ht="13">
      <c r="A19" s="18">
        <v>14</v>
      </c>
      <c r="B19" s="19" t="s">
        <v>42</v>
      </c>
      <c r="C19" s="19" t="s">
        <v>9</v>
      </c>
      <c r="D19" s="19">
        <v>116766</v>
      </c>
      <c r="E19" s="19">
        <v>2983626</v>
      </c>
      <c r="F19" s="19">
        <v>202512</v>
      </c>
      <c r="G19" s="19">
        <v>20260102</v>
      </c>
    </row>
    <row r="20" spans="1:11" ht="13">
      <c r="A20" s="16">
        <v>15</v>
      </c>
      <c r="B20" s="17" t="s">
        <v>44</v>
      </c>
      <c r="C20" s="17" t="s">
        <v>9</v>
      </c>
      <c r="D20" s="17">
        <v>126047</v>
      </c>
      <c r="E20" s="17">
        <v>3273385</v>
      </c>
      <c r="F20" s="17">
        <v>202512</v>
      </c>
      <c r="G20" s="17">
        <v>20260102</v>
      </c>
    </row>
    <row r="21" spans="1:11" ht="13">
      <c r="A21" s="18">
        <v>16</v>
      </c>
      <c r="B21" s="19" t="s">
        <v>46</v>
      </c>
      <c r="C21" s="19" t="s">
        <v>9</v>
      </c>
      <c r="D21" s="19">
        <v>7845</v>
      </c>
      <c r="E21" s="19">
        <v>368417</v>
      </c>
      <c r="F21" s="19">
        <v>202512</v>
      </c>
      <c r="G21" s="19">
        <v>20260102</v>
      </c>
    </row>
    <row r="22" spans="1:11" ht="13">
      <c r="A22" s="16">
        <v>17</v>
      </c>
      <c r="B22" s="17" t="s">
        <v>48</v>
      </c>
      <c r="C22" s="17" t="s">
        <v>9</v>
      </c>
      <c r="D22" s="17">
        <v>9988</v>
      </c>
      <c r="E22" s="17">
        <v>331466</v>
      </c>
      <c r="F22" s="17">
        <v>202512</v>
      </c>
      <c r="G22" s="17">
        <v>20260102</v>
      </c>
    </row>
    <row r="23" spans="1:11" ht="13">
      <c r="A23" s="18">
        <v>18</v>
      </c>
      <c r="B23" s="19" t="s">
        <v>50</v>
      </c>
      <c r="C23" s="19" t="s">
        <v>9</v>
      </c>
      <c r="D23" s="19">
        <v>44111</v>
      </c>
      <c r="E23" s="19">
        <v>1213283</v>
      </c>
      <c r="F23" s="19">
        <v>202512</v>
      </c>
      <c r="G23" s="19">
        <v>20260102</v>
      </c>
    </row>
    <row r="24" spans="1:11" ht="13">
      <c r="A24" s="16" t="s">
        <v>51</v>
      </c>
      <c r="B24" s="17" t="s">
        <v>52</v>
      </c>
      <c r="C24" s="17" t="s">
        <v>9</v>
      </c>
      <c r="D24" s="17">
        <v>11477</v>
      </c>
      <c r="E24" s="17">
        <v>534101</v>
      </c>
      <c r="F24" s="17">
        <v>202512</v>
      </c>
      <c r="G24" s="17">
        <v>20260102</v>
      </c>
    </row>
    <row r="25" spans="1:11" ht="13">
      <c r="A25" s="18" t="s">
        <v>53</v>
      </c>
      <c r="B25" s="19" t="s">
        <v>54</v>
      </c>
      <c r="C25" s="19" t="s">
        <v>9</v>
      </c>
      <c r="D25" s="19">
        <v>1644</v>
      </c>
      <c r="E25" s="19">
        <v>105066</v>
      </c>
      <c r="F25" s="19">
        <v>202512</v>
      </c>
      <c r="G25" s="19">
        <v>20260102</v>
      </c>
    </row>
    <row r="26" spans="1:11" ht="13">
      <c r="A26" s="16" t="s">
        <v>55</v>
      </c>
      <c r="B26" s="17" t="s">
        <v>56</v>
      </c>
      <c r="C26" s="17" t="s">
        <v>9</v>
      </c>
      <c r="D26" s="17">
        <v>13681</v>
      </c>
      <c r="E26" s="17">
        <v>669408</v>
      </c>
      <c r="F26" s="17">
        <v>202512</v>
      </c>
      <c r="G26" s="17">
        <v>20260102</v>
      </c>
    </row>
    <row r="27" spans="1:11" ht="13">
      <c r="A27" s="18" t="s">
        <v>57</v>
      </c>
      <c r="B27" s="19" t="s">
        <v>58</v>
      </c>
      <c r="C27" s="19" t="s">
        <v>9</v>
      </c>
      <c r="D27" s="19">
        <v>18214</v>
      </c>
      <c r="E27" s="19">
        <v>513748</v>
      </c>
      <c r="F27" s="19">
        <v>202512</v>
      </c>
      <c r="G27" s="19">
        <v>20260102</v>
      </c>
      <c r="J27">
        <v>6616962</v>
      </c>
      <c r="K27">
        <v>184285491</v>
      </c>
    </row>
    <row r="28" spans="1:11" ht="13">
      <c r="A28" s="16" t="s">
        <v>59</v>
      </c>
      <c r="B28" s="17" t="s">
        <v>60</v>
      </c>
      <c r="C28" s="17" t="s">
        <v>9</v>
      </c>
      <c r="D28" s="17">
        <v>21281</v>
      </c>
      <c r="E28" s="17">
        <v>326218</v>
      </c>
      <c r="F28" s="17">
        <v>202512</v>
      </c>
      <c r="G28" s="17">
        <v>20260102</v>
      </c>
    </row>
    <row r="29" spans="1:11" ht="13">
      <c r="A29" s="18">
        <v>20</v>
      </c>
      <c r="B29" s="19" t="s">
        <v>62</v>
      </c>
      <c r="C29" s="19" t="s">
        <v>9</v>
      </c>
      <c r="D29" s="19">
        <v>3981</v>
      </c>
      <c r="E29" s="19">
        <v>841274</v>
      </c>
      <c r="F29" s="19">
        <v>202512</v>
      </c>
      <c r="G29" s="19">
        <v>20260102</v>
      </c>
    </row>
    <row r="30" spans="1:11" ht="13">
      <c r="A30" s="16">
        <v>21</v>
      </c>
      <c r="B30" s="17" t="s">
        <v>64</v>
      </c>
      <c r="C30" s="17" t="s">
        <v>9</v>
      </c>
      <c r="D30" s="17">
        <v>192</v>
      </c>
      <c r="E30" s="17">
        <v>8573</v>
      </c>
      <c r="F30" s="17">
        <v>202512</v>
      </c>
      <c r="G30" s="17">
        <v>20260102</v>
      </c>
    </row>
    <row r="31" spans="1:11" ht="13">
      <c r="A31" s="18">
        <v>22</v>
      </c>
      <c r="B31" s="19" t="s">
        <v>66</v>
      </c>
      <c r="C31" s="19" t="s">
        <v>9</v>
      </c>
      <c r="D31" s="19">
        <v>16</v>
      </c>
      <c r="E31" s="19">
        <v>4368</v>
      </c>
      <c r="F31" s="19">
        <v>202512</v>
      </c>
      <c r="G31" s="19">
        <v>20260102</v>
      </c>
    </row>
    <row r="32" spans="1:11" ht="13">
      <c r="A32" s="16">
        <v>23</v>
      </c>
      <c r="B32" s="17" t="s">
        <v>68</v>
      </c>
      <c r="C32" s="17" t="s">
        <v>9</v>
      </c>
      <c r="D32" s="17">
        <v>14758</v>
      </c>
      <c r="E32" s="17">
        <v>392503</v>
      </c>
      <c r="F32" s="17">
        <v>202512</v>
      </c>
      <c r="G32" s="17">
        <v>20260102</v>
      </c>
    </row>
    <row r="33" spans="1:7" ht="13">
      <c r="A33" s="18">
        <v>25</v>
      </c>
      <c r="B33" s="19" t="s">
        <v>78</v>
      </c>
      <c r="C33" s="19" t="s">
        <v>9</v>
      </c>
      <c r="D33" s="19">
        <v>66</v>
      </c>
      <c r="E33" s="19">
        <v>2791</v>
      </c>
      <c r="F33" s="19">
        <v>202512</v>
      </c>
      <c r="G33" s="19">
        <v>20260102</v>
      </c>
    </row>
    <row r="34" spans="1:7" ht="13">
      <c r="A34" s="16">
        <v>26</v>
      </c>
      <c r="B34" s="17" t="s">
        <v>77</v>
      </c>
      <c r="C34" s="17" t="s">
        <v>9</v>
      </c>
      <c r="D34" s="17">
        <v>74887</v>
      </c>
      <c r="E34" s="17">
        <v>3534359</v>
      </c>
      <c r="F34" s="17">
        <v>202512</v>
      </c>
      <c r="G34" s="17">
        <v>20260102</v>
      </c>
    </row>
    <row r="35" spans="1:7" ht="13">
      <c r="A35" s="18">
        <v>27</v>
      </c>
      <c r="B35" s="19" t="s">
        <v>79</v>
      </c>
      <c r="C35" s="19" t="s">
        <v>9</v>
      </c>
      <c r="D35" s="19">
        <v>237</v>
      </c>
      <c r="E35" s="19">
        <v>10777</v>
      </c>
      <c r="F35" s="19">
        <v>202512</v>
      </c>
      <c r="G35" s="19">
        <v>20260102</v>
      </c>
    </row>
    <row r="36" spans="1:7" ht="13.5" thickBot="1">
      <c r="A36" s="20" t="s">
        <v>74</v>
      </c>
      <c r="B36" s="21"/>
      <c r="C36" s="21"/>
      <c r="D36" s="21">
        <v>7813164</v>
      </c>
      <c r="E36" s="21">
        <v>212613542</v>
      </c>
      <c r="F36" s="21"/>
      <c r="G36" s="21"/>
    </row>
    <row r="37" spans="1:7" ht="14.5">
      <c r="A37" s="8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EEDA-ACCE-40B3-8A2E-B9D289702CBA}">
  <dimension ref="A1:K37"/>
  <sheetViews>
    <sheetView workbookViewId="0">
      <selection activeCell="A37" sqref="A37:XFD39"/>
    </sheetView>
  </sheetViews>
  <sheetFormatPr defaultRowHeight="12.5"/>
  <cols>
    <col min="1" max="1" width="8.81640625" bestFit="1" customWidth="1"/>
    <col min="4" max="4" width="8.90625" bestFit="1" customWidth="1"/>
    <col min="5" max="5" width="11.1796875" bestFit="1" customWidth="1"/>
    <col min="6" max="6" width="9.453125" bestFit="1" customWidth="1"/>
    <col min="7" max="7" width="18.08984375" bestFit="1" customWidth="1"/>
    <col min="11" max="11" width="10.26953125" bestFit="1" customWidth="1"/>
  </cols>
  <sheetData>
    <row r="1" spans="1:7" ht="15" thickBot="1">
      <c r="A1" s="33" t="s">
        <v>80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</row>
    <row r="2" spans="1:7" ht="13">
      <c r="A2" s="43">
        <v>2</v>
      </c>
      <c r="B2" s="44" t="s">
        <v>8</v>
      </c>
      <c r="C2" s="44" t="s">
        <v>9</v>
      </c>
      <c r="D2" s="44">
        <v>30218</v>
      </c>
      <c r="E2" s="44">
        <v>3752339</v>
      </c>
      <c r="F2" s="44">
        <v>202601</v>
      </c>
      <c r="G2" s="44">
        <v>20260209</v>
      </c>
    </row>
    <row r="3" spans="1:7" ht="13">
      <c r="A3" s="18">
        <v>3</v>
      </c>
      <c r="B3" s="19" t="s">
        <v>13</v>
      </c>
      <c r="C3" s="19" t="s">
        <v>9</v>
      </c>
      <c r="D3" s="19">
        <v>109443</v>
      </c>
      <c r="E3" s="19">
        <v>1940408</v>
      </c>
      <c r="F3" s="19">
        <v>202601</v>
      </c>
      <c r="G3" s="19">
        <v>20260209</v>
      </c>
    </row>
    <row r="4" spans="1:7" ht="13">
      <c r="A4" s="16">
        <v>4</v>
      </c>
      <c r="B4" s="17" t="s">
        <v>15</v>
      </c>
      <c r="C4" s="17" t="s">
        <v>9</v>
      </c>
      <c r="D4" s="17">
        <v>57276</v>
      </c>
      <c r="E4" s="17">
        <v>2104777</v>
      </c>
      <c r="F4" s="17">
        <v>202601</v>
      </c>
      <c r="G4" s="17">
        <v>20260209</v>
      </c>
    </row>
    <row r="5" spans="1:7" ht="13">
      <c r="A5" s="18">
        <v>5</v>
      </c>
      <c r="B5" s="19" t="s">
        <v>17</v>
      </c>
      <c r="C5" s="19" t="s">
        <v>9</v>
      </c>
      <c r="D5" s="19">
        <v>80691</v>
      </c>
      <c r="E5" s="19">
        <v>2262538</v>
      </c>
      <c r="F5" s="19">
        <v>202601</v>
      </c>
      <c r="G5" s="19">
        <v>20260209</v>
      </c>
    </row>
    <row r="6" spans="1:7" ht="13">
      <c r="A6" s="16">
        <v>6</v>
      </c>
      <c r="B6" s="17" t="s">
        <v>19</v>
      </c>
      <c r="C6" s="17" t="s">
        <v>9</v>
      </c>
      <c r="D6" s="17">
        <v>5550</v>
      </c>
      <c r="E6" s="17">
        <v>305369</v>
      </c>
      <c r="F6" s="17">
        <v>202601</v>
      </c>
      <c r="G6" s="17">
        <v>20260209</v>
      </c>
    </row>
    <row r="7" spans="1:7" ht="13">
      <c r="A7" s="18">
        <v>7</v>
      </c>
      <c r="B7" s="19" t="s">
        <v>21</v>
      </c>
      <c r="C7" s="19" t="s">
        <v>9</v>
      </c>
      <c r="D7" s="19">
        <v>96773</v>
      </c>
      <c r="E7" s="19">
        <v>2242480</v>
      </c>
      <c r="F7" s="19">
        <v>202601</v>
      </c>
      <c r="G7" s="19">
        <v>20260209</v>
      </c>
    </row>
    <row r="8" spans="1:7" ht="13">
      <c r="A8" s="16">
        <v>8</v>
      </c>
      <c r="B8" s="17" t="s">
        <v>23</v>
      </c>
      <c r="C8" s="17" t="s">
        <v>9</v>
      </c>
      <c r="D8" s="17">
        <v>38541</v>
      </c>
      <c r="E8" s="17">
        <v>1414637</v>
      </c>
      <c r="F8" s="17">
        <v>202601</v>
      </c>
      <c r="G8" s="17">
        <v>20260209</v>
      </c>
    </row>
    <row r="9" spans="1:7" ht="13">
      <c r="A9" s="18" t="s">
        <v>24</v>
      </c>
      <c r="B9" s="19" t="s">
        <v>25</v>
      </c>
      <c r="C9" s="19" t="s">
        <v>9</v>
      </c>
      <c r="D9" s="19">
        <v>70855</v>
      </c>
      <c r="E9" s="19">
        <v>2320763</v>
      </c>
      <c r="F9" s="19">
        <v>202601</v>
      </c>
      <c r="G9" s="19">
        <v>20260209</v>
      </c>
    </row>
    <row r="10" spans="1:7" ht="13">
      <c r="A10" s="16" t="s">
        <v>26</v>
      </c>
      <c r="B10" s="17" t="s">
        <v>27</v>
      </c>
      <c r="C10" s="17" t="s">
        <v>9</v>
      </c>
      <c r="D10" s="17">
        <v>16273</v>
      </c>
      <c r="E10" s="17">
        <v>355962</v>
      </c>
      <c r="F10" s="17">
        <v>202601</v>
      </c>
      <c r="G10" s="17">
        <v>20260209</v>
      </c>
    </row>
    <row r="11" spans="1:7" ht="13">
      <c r="A11" s="18" t="s">
        <v>28</v>
      </c>
      <c r="B11" s="19" t="s">
        <v>29</v>
      </c>
      <c r="C11" s="19" t="s">
        <v>9</v>
      </c>
      <c r="D11" s="19">
        <v>43699</v>
      </c>
      <c r="E11" s="19">
        <v>1665741</v>
      </c>
      <c r="F11" s="19">
        <v>202601</v>
      </c>
      <c r="G11" s="19">
        <v>20260209</v>
      </c>
    </row>
    <row r="12" spans="1:7" ht="13">
      <c r="A12" s="16" t="s">
        <v>30</v>
      </c>
      <c r="B12" s="17" t="s">
        <v>31</v>
      </c>
      <c r="C12" s="17" t="s">
        <v>32</v>
      </c>
      <c r="D12" s="17">
        <v>1050841</v>
      </c>
      <c r="E12" s="17">
        <v>25679594</v>
      </c>
      <c r="F12" s="17">
        <v>202601</v>
      </c>
      <c r="G12" s="17">
        <v>20260209</v>
      </c>
    </row>
    <row r="13" spans="1:7" ht="13">
      <c r="A13" s="18" t="s">
        <v>30</v>
      </c>
      <c r="B13" s="19" t="s">
        <v>31</v>
      </c>
      <c r="C13" s="19" t="s">
        <v>9</v>
      </c>
      <c r="D13" s="19">
        <v>3125028</v>
      </c>
      <c r="E13" s="19">
        <v>77502078</v>
      </c>
      <c r="F13" s="19">
        <v>202601</v>
      </c>
      <c r="G13" s="19">
        <v>20260209</v>
      </c>
    </row>
    <row r="14" spans="1:7" ht="13">
      <c r="A14" s="16">
        <v>10</v>
      </c>
      <c r="B14" s="17" t="s">
        <v>34</v>
      </c>
      <c r="C14" s="17" t="s">
        <v>9</v>
      </c>
      <c r="D14" s="17">
        <v>126995</v>
      </c>
      <c r="E14" s="17">
        <v>4225136</v>
      </c>
      <c r="F14" s="17">
        <v>202601</v>
      </c>
      <c r="G14" s="17">
        <v>20260209</v>
      </c>
    </row>
    <row r="15" spans="1:7" ht="13">
      <c r="A15" s="18">
        <v>11</v>
      </c>
      <c r="B15" s="19" t="s">
        <v>36</v>
      </c>
      <c r="C15" s="19" t="s">
        <v>9</v>
      </c>
      <c r="D15" s="19">
        <v>408293</v>
      </c>
      <c r="E15" s="19">
        <v>10331119</v>
      </c>
      <c r="F15" s="19">
        <v>202601</v>
      </c>
      <c r="G15" s="19">
        <v>20260209</v>
      </c>
    </row>
    <row r="16" spans="1:7" ht="13">
      <c r="A16" s="16">
        <v>12</v>
      </c>
      <c r="B16" s="17" t="s">
        <v>38</v>
      </c>
      <c r="C16" s="17" t="s">
        <v>9</v>
      </c>
      <c r="D16" s="17">
        <v>105551</v>
      </c>
      <c r="E16" s="17">
        <v>3755502</v>
      </c>
      <c r="F16" s="17">
        <v>202601</v>
      </c>
      <c r="G16" s="17">
        <v>20260209</v>
      </c>
    </row>
    <row r="17" spans="1:11" ht="13">
      <c r="A17" s="18">
        <v>13</v>
      </c>
      <c r="B17" s="19" t="s">
        <v>40</v>
      </c>
      <c r="C17" s="19" t="s">
        <v>32</v>
      </c>
      <c r="D17" s="19">
        <v>0</v>
      </c>
      <c r="E17" s="19">
        <v>0</v>
      </c>
      <c r="F17" s="19">
        <v>202601</v>
      </c>
      <c r="G17" s="19">
        <v>20260209</v>
      </c>
    </row>
    <row r="18" spans="1:11" ht="13">
      <c r="A18" s="16">
        <v>13</v>
      </c>
      <c r="B18" s="17" t="s">
        <v>40</v>
      </c>
      <c r="C18" s="17" t="s">
        <v>9</v>
      </c>
      <c r="D18" s="17">
        <v>991341</v>
      </c>
      <c r="E18" s="17">
        <v>33768731</v>
      </c>
      <c r="F18" s="17">
        <v>202601</v>
      </c>
      <c r="G18" s="17">
        <v>20260209</v>
      </c>
    </row>
    <row r="19" spans="1:11" ht="13">
      <c r="A19" s="18">
        <v>14</v>
      </c>
      <c r="B19" s="19" t="s">
        <v>42</v>
      </c>
      <c r="C19" s="19" t="s">
        <v>9</v>
      </c>
      <c r="D19" s="19">
        <v>89432</v>
      </c>
      <c r="E19" s="19">
        <v>2340752</v>
      </c>
      <c r="F19" s="19">
        <v>202601</v>
      </c>
      <c r="G19" s="19">
        <v>20260209</v>
      </c>
    </row>
    <row r="20" spans="1:11" ht="13">
      <c r="A20" s="16">
        <v>15</v>
      </c>
      <c r="B20" s="17" t="s">
        <v>44</v>
      </c>
      <c r="C20" s="17" t="s">
        <v>9</v>
      </c>
      <c r="D20" s="17">
        <v>92043</v>
      </c>
      <c r="E20" s="17">
        <v>2435283</v>
      </c>
      <c r="F20" s="17">
        <v>202601</v>
      </c>
      <c r="G20" s="17">
        <v>20260209</v>
      </c>
    </row>
    <row r="21" spans="1:11" ht="13">
      <c r="A21" s="18">
        <v>16</v>
      </c>
      <c r="B21" s="19" t="s">
        <v>46</v>
      </c>
      <c r="C21" s="19" t="s">
        <v>9</v>
      </c>
      <c r="D21" s="19">
        <v>5178</v>
      </c>
      <c r="E21" s="19">
        <v>252460</v>
      </c>
      <c r="F21" s="19">
        <v>202601</v>
      </c>
      <c r="G21" s="19">
        <v>20260209</v>
      </c>
    </row>
    <row r="22" spans="1:11" ht="13">
      <c r="A22" s="16">
        <v>17</v>
      </c>
      <c r="B22" s="17" t="s">
        <v>48</v>
      </c>
      <c r="C22" s="17" t="s">
        <v>9</v>
      </c>
      <c r="D22" s="17">
        <v>8792</v>
      </c>
      <c r="E22" s="17">
        <v>293303</v>
      </c>
      <c r="F22" s="17">
        <v>202601</v>
      </c>
      <c r="G22" s="17">
        <v>20260209</v>
      </c>
    </row>
    <row r="23" spans="1:11" ht="13">
      <c r="A23" s="18">
        <v>18</v>
      </c>
      <c r="B23" s="19" t="s">
        <v>50</v>
      </c>
      <c r="C23" s="19" t="s">
        <v>9</v>
      </c>
      <c r="D23" s="19">
        <v>34590</v>
      </c>
      <c r="E23" s="19">
        <v>941711</v>
      </c>
      <c r="F23" s="19">
        <v>202601</v>
      </c>
      <c r="G23" s="19">
        <v>20260209</v>
      </c>
    </row>
    <row r="24" spans="1:11" ht="13">
      <c r="A24" s="16" t="s">
        <v>51</v>
      </c>
      <c r="B24" s="17" t="s">
        <v>52</v>
      </c>
      <c r="C24" s="17" t="s">
        <v>9</v>
      </c>
      <c r="D24" s="17">
        <v>10593</v>
      </c>
      <c r="E24" s="17">
        <v>498733</v>
      </c>
      <c r="F24" s="17">
        <v>202601</v>
      </c>
      <c r="G24" s="17">
        <v>20260209</v>
      </c>
      <c r="J24">
        <v>5677660</v>
      </c>
      <c r="K24">
        <v>160501752</v>
      </c>
    </row>
    <row r="25" spans="1:11" ht="13">
      <c r="A25" s="18" t="s">
        <v>53</v>
      </c>
      <c r="B25" s="19" t="s">
        <v>54</v>
      </c>
      <c r="C25" s="19" t="s">
        <v>9</v>
      </c>
      <c r="D25" s="19">
        <v>1401</v>
      </c>
      <c r="E25" s="19">
        <v>88499</v>
      </c>
      <c r="F25" s="19">
        <v>202601</v>
      </c>
      <c r="G25" s="19">
        <v>20260209</v>
      </c>
    </row>
    <row r="26" spans="1:11" ht="13">
      <c r="A26" s="16" t="s">
        <v>55</v>
      </c>
      <c r="B26" s="17" t="s">
        <v>56</v>
      </c>
      <c r="C26" s="17" t="s">
        <v>9</v>
      </c>
      <c r="D26" s="17">
        <v>10676</v>
      </c>
      <c r="E26" s="17">
        <v>548111</v>
      </c>
      <c r="F26" s="17">
        <v>202601</v>
      </c>
      <c r="G26" s="17">
        <v>20260209</v>
      </c>
    </row>
    <row r="27" spans="1:11" ht="13">
      <c r="A27" s="18" t="s">
        <v>57</v>
      </c>
      <c r="B27" s="19" t="s">
        <v>58</v>
      </c>
      <c r="C27" s="19" t="s">
        <v>9</v>
      </c>
      <c r="D27" s="19">
        <v>13737</v>
      </c>
      <c r="E27" s="19">
        <v>399440</v>
      </c>
      <c r="F27" s="19">
        <v>202601</v>
      </c>
      <c r="G27" s="19">
        <v>20260209</v>
      </c>
    </row>
    <row r="28" spans="1:11" ht="13">
      <c r="A28" s="16" t="s">
        <v>59</v>
      </c>
      <c r="B28" s="17" t="s">
        <v>60</v>
      </c>
      <c r="C28" s="17" t="s">
        <v>9</v>
      </c>
      <c r="D28" s="17">
        <v>16914</v>
      </c>
      <c r="E28" s="17">
        <v>257191</v>
      </c>
      <c r="F28" s="17">
        <v>202601</v>
      </c>
      <c r="G28" s="17">
        <v>20260209</v>
      </c>
    </row>
    <row r="29" spans="1:11" ht="13">
      <c r="A29" s="18">
        <v>20</v>
      </c>
      <c r="B29" s="19" t="s">
        <v>62</v>
      </c>
      <c r="C29" s="19" t="s">
        <v>9</v>
      </c>
      <c r="D29" s="19">
        <v>3788</v>
      </c>
      <c r="E29" s="19">
        <v>844959</v>
      </c>
      <c r="F29" s="19">
        <v>202601</v>
      </c>
      <c r="G29" s="19">
        <v>20260209</v>
      </c>
    </row>
    <row r="30" spans="1:11" ht="13">
      <c r="A30" s="16">
        <v>21</v>
      </c>
      <c r="B30" s="17" t="s">
        <v>64</v>
      </c>
      <c r="C30" s="17" t="s">
        <v>9</v>
      </c>
      <c r="D30" s="17">
        <v>121</v>
      </c>
      <c r="E30" s="17">
        <v>7308</v>
      </c>
      <c r="F30" s="17">
        <v>202601</v>
      </c>
      <c r="G30" s="17">
        <v>20260209</v>
      </c>
    </row>
    <row r="31" spans="1:11" ht="13">
      <c r="A31" s="18">
        <v>22</v>
      </c>
      <c r="B31" s="19" t="s">
        <v>66</v>
      </c>
      <c r="C31" s="19" t="s">
        <v>9</v>
      </c>
      <c r="D31" s="19">
        <v>24</v>
      </c>
      <c r="E31" s="19">
        <v>6882</v>
      </c>
      <c r="F31" s="19">
        <v>202601</v>
      </c>
      <c r="G31" s="19">
        <v>20260209</v>
      </c>
    </row>
    <row r="32" spans="1:11" ht="13">
      <c r="A32" s="16">
        <v>23</v>
      </c>
      <c r="B32" s="17" t="s">
        <v>68</v>
      </c>
      <c r="C32" s="17" t="s">
        <v>9</v>
      </c>
      <c r="D32" s="17">
        <v>12848</v>
      </c>
      <c r="E32" s="17">
        <v>340237</v>
      </c>
      <c r="F32" s="17">
        <v>202601</v>
      </c>
      <c r="G32" s="17">
        <v>20260209</v>
      </c>
    </row>
    <row r="33" spans="1:7" ht="13">
      <c r="A33" s="18">
        <v>25</v>
      </c>
      <c r="B33" s="19" t="s">
        <v>78</v>
      </c>
      <c r="C33" s="19" t="s">
        <v>9</v>
      </c>
      <c r="D33" s="19">
        <v>2243</v>
      </c>
      <c r="E33" s="19">
        <v>84900</v>
      </c>
      <c r="F33" s="19">
        <v>202601</v>
      </c>
      <c r="G33" s="19">
        <v>20260209</v>
      </c>
    </row>
    <row r="34" spans="1:7" ht="13">
      <c r="A34" s="16">
        <v>26</v>
      </c>
      <c r="B34" s="17" t="s">
        <v>77</v>
      </c>
      <c r="C34" s="17" t="s">
        <v>9</v>
      </c>
      <c r="D34" s="17">
        <v>63338</v>
      </c>
      <c r="E34" s="17">
        <v>2960774</v>
      </c>
      <c r="F34" s="17">
        <v>202601</v>
      </c>
      <c r="G34" s="17">
        <v>20260209</v>
      </c>
    </row>
    <row r="35" spans="1:7" ht="13">
      <c r="A35" s="18">
        <v>27</v>
      </c>
      <c r="B35" s="19" t="s">
        <v>79</v>
      </c>
      <c r="C35" s="19" t="s">
        <v>9</v>
      </c>
      <c r="D35" s="19">
        <v>5415</v>
      </c>
      <c r="E35" s="19">
        <v>253629</v>
      </c>
      <c r="F35" s="19">
        <v>202601</v>
      </c>
      <c r="G35" s="19">
        <v>20260209</v>
      </c>
    </row>
    <row r="36" spans="1:7" ht="13.5" thickBot="1">
      <c r="A36" s="20" t="s">
        <v>74</v>
      </c>
      <c r="B36" s="21"/>
      <c r="C36" s="21"/>
      <c r="D36" s="21">
        <v>6728501</v>
      </c>
      <c r="E36" s="21">
        <v>186181346</v>
      </c>
      <c r="F36" s="21"/>
      <c r="G36" s="21"/>
    </row>
    <row r="37" spans="1:7" ht="14.5">
      <c r="A37" s="8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71B9D-1905-49D0-BD96-B1ABA5BEA860}">
  <dimension ref="A1:G3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37" sqref="A37:XFD39"/>
    </sheetView>
  </sheetViews>
  <sheetFormatPr defaultRowHeight="12.5"/>
  <cols>
    <col min="1" max="1" width="8.54296875" bestFit="1" customWidth="1"/>
    <col min="2" max="2" width="30" bestFit="1" customWidth="1"/>
    <col min="3" max="3" width="7.453125" bestFit="1" customWidth="1"/>
    <col min="4" max="4" width="9.453125" bestFit="1" customWidth="1"/>
    <col min="5" max="5" width="11.1796875" bestFit="1" customWidth="1"/>
    <col min="6" max="6" width="9.453125" bestFit="1" customWidth="1"/>
    <col min="7" max="7" width="18.08984375" bestFit="1" customWidth="1"/>
    <col min="11" max="11" width="10.26953125" bestFit="1" customWidth="1"/>
  </cols>
  <sheetData>
    <row r="1" spans="1:7" ht="15" thickBot="1">
      <c r="A1" s="33" t="s">
        <v>80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</row>
    <row r="2" spans="1:7" ht="13">
      <c r="A2" s="43">
        <v>2</v>
      </c>
      <c r="B2" s="44" t="s">
        <v>8</v>
      </c>
      <c r="C2" s="44" t="s">
        <v>9</v>
      </c>
      <c r="D2" s="44">
        <v>20568</v>
      </c>
      <c r="E2" s="44">
        <v>2535136</v>
      </c>
      <c r="F2" s="44">
        <v>202602</v>
      </c>
      <c r="G2" s="44">
        <v>20260302</v>
      </c>
    </row>
    <row r="3" spans="1:7" ht="13">
      <c r="A3" s="18">
        <v>3</v>
      </c>
      <c r="B3" s="19" t="s">
        <v>13</v>
      </c>
      <c r="C3" s="19" t="s">
        <v>9</v>
      </c>
      <c r="D3" s="19">
        <v>60627</v>
      </c>
      <c r="E3" s="19">
        <v>1084241</v>
      </c>
      <c r="F3" s="19">
        <v>202602</v>
      </c>
      <c r="G3" s="19">
        <v>20260302</v>
      </c>
    </row>
    <row r="4" spans="1:7" ht="13">
      <c r="A4" s="16">
        <v>4</v>
      </c>
      <c r="B4" s="17" t="s">
        <v>15</v>
      </c>
      <c r="C4" s="17" t="s">
        <v>9</v>
      </c>
      <c r="D4" s="17">
        <v>37921</v>
      </c>
      <c r="E4" s="17">
        <v>1443384</v>
      </c>
      <c r="F4" s="17">
        <v>202602</v>
      </c>
      <c r="G4" s="17">
        <v>20260302</v>
      </c>
    </row>
    <row r="5" spans="1:7" ht="13">
      <c r="A5" s="18">
        <v>5</v>
      </c>
      <c r="B5" s="19" t="s">
        <v>17</v>
      </c>
      <c r="C5" s="19" t="s">
        <v>9</v>
      </c>
      <c r="D5" s="19">
        <v>38952</v>
      </c>
      <c r="E5" s="19">
        <v>1160159</v>
      </c>
      <c r="F5" s="19">
        <v>202602</v>
      </c>
      <c r="G5" s="19">
        <v>20260302</v>
      </c>
    </row>
    <row r="6" spans="1:7" ht="13">
      <c r="A6" s="16">
        <v>6</v>
      </c>
      <c r="B6" s="17" t="s">
        <v>19</v>
      </c>
      <c r="C6" s="17" t="s">
        <v>9</v>
      </c>
      <c r="D6" s="17">
        <v>3978</v>
      </c>
      <c r="E6" s="17">
        <v>216656</v>
      </c>
      <c r="F6" s="17">
        <v>202602</v>
      </c>
      <c r="G6" s="17">
        <v>20260302</v>
      </c>
    </row>
    <row r="7" spans="1:7" ht="13">
      <c r="A7" s="18">
        <v>7</v>
      </c>
      <c r="B7" s="19" t="s">
        <v>21</v>
      </c>
      <c r="C7" s="19" t="s">
        <v>9</v>
      </c>
      <c r="D7" s="19">
        <v>60501</v>
      </c>
      <c r="E7" s="19">
        <v>1404508</v>
      </c>
      <c r="F7" s="19">
        <v>202602</v>
      </c>
      <c r="G7" s="19">
        <v>20260302</v>
      </c>
    </row>
    <row r="8" spans="1:7" ht="13">
      <c r="A8" s="16">
        <v>8</v>
      </c>
      <c r="B8" s="17" t="s">
        <v>23</v>
      </c>
      <c r="C8" s="17" t="s">
        <v>9</v>
      </c>
      <c r="D8" s="17">
        <v>23558</v>
      </c>
      <c r="E8" s="17">
        <v>869995</v>
      </c>
      <c r="F8" s="17">
        <v>202602</v>
      </c>
      <c r="G8" s="17">
        <v>20260302</v>
      </c>
    </row>
    <row r="9" spans="1:7" ht="13">
      <c r="A9" s="18" t="s">
        <v>24</v>
      </c>
      <c r="B9" s="19" t="s">
        <v>25</v>
      </c>
      <c r="C9" s="19" t="s">
        <v>9</v>
      </c>
      <c r="D9" s="19">
        <v>49486</v>
      </c>
      <c r="E9" s="19">
        <v>1687704</v>
      </c>
      <c r="F9" s="19">
        <v>202602</v>
      </c>
      <c r="G9" s="19">
        <v>20260302</v>
      </c>
    </row>
    <row r="10" spans="1:7" ht="13">
      <c r="A10" s="16" t="s">
        <v>26</v>
      </c>
      <c r="B10" s="17" t="s">
        <v>27</v>
      </c>
      <c r="C10" s="17" t="s">
        <v>9</v>
      </c>
      <c r="D10" s="17">
        <v>10168</v>
      </c>
      <c r="E10" s="17">
        <v>230259</v>
      </c>
      <c r="F10" s="17">
        <v>202602</v>
      </c>
      <c r="G10" s="17">
        <v>20260302</v>
      </c>
    </row>
    <row r="11" spans="1:7" ht="13">
      <c r="A11" s="18" t="s">
        <v>28</v>
      </c>
      <c r="B11" s="19" t="s">
        <v>29</v>
      </c>
      <c r="C11" s="19" t="s">
        <v>9</v>
      </c>
      <c r="D11" s="19">
        <v>28021</v>
      </c>
      <c r="E11" s="19">
        <v>1070626</v>
      </c>
      <c r="F11" s="19">
        <v>202602</v>
      </c>
      <c r="G11" s="19">
        <v>20260302</v>
      </c>
    </row>
    <row r="12" spans="1:7" ht="13">
      <c r="A12" s="16" t="s">
        <v>30</v>
      </c>
      <c r="B12" s="17" t="s">
        <v>31</v>
      </c>
      <c r="C12" s="17" t="s">
        <v>32</v>
      </c>
      <c r="D12" s="17">
        <v>705165</v>
      </c>
      <c r="E12" s="17">
        <v>17683571</v>
      </c>
      <c r="F12" s="17">
        <v>202602</v>
      </c>
      <c r="G12" s="17">
        <v>20260302</v>
      </c>
    </row>
    <row r="13" spans="1:7" ht="13">
      <c r="A13" s="18" t="s">
        <v>30</v>
      </c>
      <c r="B13" s="19" t="s">
        <v>31</v>
      </c>
      <c r="C13" s="19" t="s">
        <v>9</v>
      </c>
      <c r="D13" s="19">
        <v>2110953</v>
      </c>
      <c r="E13" s="19">
        <v>53166508</v>
      </c>
      <c r="F13" s="19">
        <v>202602</v>
      </c>
      <c r="G13" s="19">
        <v>20260302</v>
      </c>
    </row>
    <row r="14" spans="1:7" ht="13">
      <c r="A14" s="16">
        <v>10</v>
      </c>
      <c r="B14" s="17" t="s">
        <v>34</v>
      </c>
      <c r="C14" s="17" t="s">
        <v>9</v>
      </c>
      <c r="D14" s="17">
        <v>62519</v>
      </c>
      <c r="E14" s="17">
        <v>2112909</v>
      </c>
      <c r="F14" s="17">
        <v>202602</v>
      </c>
      <c r="G14" s="17">
        <v>20260302</v>
      </c>
    </row>
    <row r="15" spans="1:7" ht="13">
      <c r="A15" s="18">
        <v>11</v>
      </c>
      <c r="B15" s="19" t="s">
        <v>36</v>
      </c>
      <c r="C15" s="19" t="s">
        <v>9</v>
      </c>
      <c r="D15" s="19">
        <v>247266</v>
      </c>
      <c r="E15" s="19">
        <v>6523822</v>
      </c>
      <c r="F15" s="19">
        <v>202602</v>
      </c>
      <c r="G15" s="19">
        <v>20260302</v>
      </c>
    </row>
    <row r="16" spans="1:7" ht="13">
      <c r="A16" s="16">
        <v>12</v>
      </c>
      <c r="B16" s="17" t="s">
        <v>38</v>
      </c>
      <c r="C16" s="17" t="s">
        <v>9</v>
      </c>
      <c r="D16" s="17">
        <v>46718</v>
      </c>
      <c r="E16" s="17">
        <v>1760789</v>
      </c>
      <c r="F16" s="17">
        <v>202602</v>
      </c>
      <c r="G16" s="17">
        <v>20260302</v>
      </c>
    </row>
    <row r="17" spans="1:7" ht="13">
      <c r="A17" s="18">
        <v>13</v>
      </c>
      <c r="B17" s="19" t="s">
        <v>40</v>
      </c>
      <c r="C17" s="19" t="s">
        <v>32</v>
      </c>
      <c r="D17" s="19">
        <v>1</v>
      </c>
      <c r="E17" s="19">
        <v>12</v>
      </c>
      <c r="F17" s="19">
        <v>202602</v>
      </c>
      <c r="G17" s="19">
        <v>20260302</v>
      </c>
    </row>
    <row r="18" spans="1:7" ht="13">
      <c r="A18" s="16">
        <v>13</v>
      </c>
      <c r="B18" s="17" t="s">
        <v>40</v>
      </c>
      <c r="C18" s="17" t="s">
        <v>9</v>
      </c>
      <c r="D18" s="17">
        <v>705167</v>
      </c>
      <c r="E18" s="17">
        <v>23962569</v>
      </c>
      <c r="F18" s="17">
        <v>202602</v>
      </c>
      <c r="G18" s="17">
        <v>20260302</v>
      </c>
    </row>
    <row r="19" spans="1:7" ht="13">
      <c r="A19" s="18">
        <v>14</v>
      </c>
      <c r="B19" s="19" t="s">
        <v>42</v>
      </c>
      <c r="C19" s="19" t="s">
        <v>9</v>
      </c>
      <c r="D19" s="19">
        <v>45406</v>
      </c>
      <c r="E19" s="19">
        <v>1237331</v>
      </c>
      <c r="F19" s="19">
        <v>202602</v>
      </c>
      <c r="G19" s="19">
        <v>20260302</v>
      </c>
    </row>
    <row r="20" spans="1:7" ht="13">
      <c r="A20" s="16">
        <v>15</v>
      </c>
      <c r="B20" s="17" t="s">
        <v>44</v>
      </c>
      <c r="C20" s="17" t="s">
        <v>9</v>
      </c>
      <c r="D20" s="17">
        <v>32301</v>
      </c>
      <c r="E20" s="17">
        <v>894557</v>
      </c>
      <c r="F20" s="17">
        <v>202602</v>
      </c>
      <c r="G20" s="17">
        <v>20260302</v>
      </c>
    </row>
    <row r="21" spans="1:7" ht="13">
      <c r="A21" s="18">
        <v>16</v>
      </c>
      <c r="B21" s="19" t="s">
        <v>46</v>
      </c>
      <c r="C21" s="19" t="s">
        <v>9</v>
      </c>
      <c r="D21" s="19">
        <v>1909</v>
      </c>
      <c r="E21" s="19">
        <v>96673</v>
      </c>
      <c r="F21" s="19">
        <v>202602</v>
      </c>
      <c r="G21" s="19">
        <v>20260302</v>
      </c>
    </row>
    <row r="22" spans="1:7" ht="13">
      <c r="A22" s="16">
        <v>17</v>
      </c>
      <c r="B22" s="17" t="s">
        <v>48</v>
      </c>
      <c r="C22" s="17" t="s">
        <v>9</v>
      </c>
      <c r="D22" s="17">
        <v>5003</v>
      </c>
      <c r="E22" s="17">
        <v>173847</v>
      </c>
      <c r="F22" s="17">
        <v>202602</v>
      </c>
      <c r="G22" s="17">
        <v>20260302</v>
      </c>
    </row>
    <row r="23" spans="1:7" ht="13">
      <c r="A23" s="18">
        <v>18</v>
      </c>
      <c r="B23" s="19" t="s">
        <v>50</v>
      </c>
      <c r="C23" s="19" t="s">
        <v>9</v>
      </c>
      <c r="D23" s="19">
        <v>19265</v>
      </c>
      <c r="E23" s="19">
        <v>522260</v>
      </c>
      <c r="F23" s="19">
        <v>202602</v>
      </c>
      <c r="G23" s="19">
        <v>20260302</v>
      </c>
    </row>
    <row r="24" spans="1:7" ht="13">
      <c r="A24" s="16" t="s">
        <v>51</v>
      </c>
      <c r="B24" s="17" t="s">
        <v>52</v>
      </c>
      <c r="C24" s="17" t="s">
        <v>9</v>
      </c>
      <c r="D24" s="17">
        <v>7309</v>
      </c>
      <c r="E24" s="17">
        <v>349869</v>
      </c>
      <c r="F24" s="17">
        <v>202602</v>
      </c>
      <c r="G24" s="17">
        <v>20260302</v>
      </c>
    </row>
    <row r="25" spans="1:7" ht="13">
      <c r="A25" s="18" t="s">
        <v>53</v>
      </c>
      <c r="B25" s="19" t="s">
        <v>54</v>
      </c>
      <c r="C25" s="19" t="s">
        <v>9</v>
      </c>
      <c r="D25" s="19">
        <v>738</v>
      </c>
      <c r="E25" s="19">
        <v>49142</v>
      </c>
      <c r="F25" s="19">
        <v>202602</v>
      </c>
      <c r="G25" s="19">
        <v>20260302</v>
      </c>
    </row>
    <row r="26" spans="1:7" ht="13">
      <c r="A26" s="16" t="s">
        <v>55</v>
      </c>
      <c r="B26" s="17" t="s">
        <v>56</v>
      </c>
      <c r="C26" s="17" t="s">
        <v>9</v>
      </c>
      <c r="D26" s="17">
        <v>5423</v>
      </c>
      <c r="E26" s="17">
        <v>307485</v>
      </c>
      <c r="F26" s="17">
        <v>202602</v>
      </c>
      <c r="G26" s="17">
        <v>20260302</v>
      </c>
    </row>
    <row r="27" spans="1:7" ht="13">
      <c r="A27" s="18" t="s">
        <v>57</v>
      </c>
      <c r="B27" s="19" t="s">
        <v>58</v>
      </c>
      <c r="C27" s="19" t="s">
        <v>9</v>
      </c>
      <c r="D27" s="19">
        <v>6612</v>
      </c>
      <c r="E27" s="19">
        <v>206803</v>
      </c>
      <c r="F27" s="19">
        <v>202602</v>
      </c>
      <c r="G27" s="19">
        <v>20260302</v>
      </c>
    </row>
    <row r="28" spans="1:7" ht="13">
      <c r="A28" s="16" t="s">
        <v>59</v>
      </c>
      <c r="B28" s="17" t="s">
        <v>60</v>
      </c>
      <c r="C28" s="17" t="s">
        <v>9</v>
      </c>
      <c r="D28" s="17">
        <v>7621</v>
      </c>
      <c r="E28" s="17">
        <v>115485</v>
      </c>
      <c r="F28" s="17">
        <v>202602</v>
      </c>
      <c r="G28" s="17">
        <v>20260302</v>
      </c>
    </row>
    <row r="29" spans="1:7" ht="13">
      <c r="A29" s="18">
        <v>20</v>
      </c>
      <c r="B29" s="19" t="s">
        <v>62</v>
      </c>
      <c r="C29" s="19" t="s">
        <v>9</v>
      </c>
      <c r="D29" s="19">
        <v>2999</v>
      </c>
      <c r="E29" s="19">
        <v>746711</v>
      </c>
      <c r="F29" s="19">
        <v>202602</v>
      </c>
      <c r="G29" s="19">
        <v>20260302</v>
      </c>
    </row>
    <row r="30" spans="1:7" ht="13">
      <c r="A30" s="16">
        <v>21</v>
      </c>
      <c r="B30" s="17" t="s">
        <v>64</v>
      </c>
      <c r="C30" s="17" t="s">
        <v>9</v>
      </c>
      <c r="D30" s="17">
        <v>432</v>
      </c>
      <c r="E30" s="17">
        <v>18124</v>
      </c>
      <c r="F30" s="17">
        <v>202602</v>
      </c>
      <c r="G30" s="17">
        <v>20260302</v>
      </c>
    </row>
    <row r="31" spans="1:7" ht="13">
      <c r="A31" s="18">
        <v>22</v>
      </c>
      <c r="B31" s="19" t="s">
        <v>66</v>
      </c>
      <c r="C31" s="19" t="s">
        <v>9</v>
      </c>
      <c r="D31" s="19">
        <v>50</v>
      </c>
      <c r="E31" s="19">
        <v>11037</v>
      </c>
      <c r="F31" s="19">
        <v>202602</v>
      </c>
      <c r="G31" s="19">
        <v>20260302</v>
      </c>
    </row>
    <row r="32" spans="1:7" ht="13">
      <c r="A32" s="16">
        <v>23</v>
      </c>
      <c r="B32" s="17" t="s">
        <v>68</v>
      </c>
      <c r="C32" s="17" t="s">
        <v>9</v>
      </c>
      <c r="D32" s="17">
        <v>6849</v>
      </c>
      <c r="E32" s="17">
        <v>207826</v>
      </c>
      <c r="F32" s="17">
        <v>202602</v>
      </c>
      <c r="G32" s="17">
        <v>20260302</v>
      </c>
    </row>
    <row r="33" spans="1:7" ht="13">
      <c r="A33" s="18">
        <v>25</v>
      </c>
      <c r="B33" s="19" t="s">
        <v>78</v>
      </c>
      <c r="C33" s="19" t="s">
        <v>9</v>
      </c>
      <c r="D33" s="19">
        <v>3146</v>
      </c>
      <c r="E33" s="19">
        <v>118678</v>
      </c>
      <c r="F33" s="19">
        <v>202602</v>
      </c>
      <c r="G33" s="19">
        <v>20260302</v>
      </c>
    </row>
    <row r="34" spans="1:7" ht="13">
      <c r="A34" s="16">
        <v>26</v>
      </c>
      <c r="B34" s="17" t="s">
        <v>77</v>
      </c>
      <c r="C34" s="17" t="s">
        <v>9</v>
      </c>
      <c r="D34" s="17">
        <v>41326</v>
      </c>
      <c r="E34" s="17">
        <v>1934281</v>
      </c>
      <c r="F34" s="17">
        <v>202602</v>
      </c>
      <c r="G34" s="17">
        <v>20260302</v>
      </c>
    </row>
    <row r="35" spans="1:7" ht="13">
      <c r="A35" s="18">
        <v>27</v>
      </c>
      <c r="B35" s="19" t="s">
        <v>79</v>
      </c>
      <c r="C35" s="19" t="s">
        <v>9</v>
      </c>
      <c r="D35" s="19">
        <v>5814</v>
      </c>
      <c r="E35" s="19">
        <v>261779</v>
      </c>
      <c r="F35" s="19">
        <v>202602</v>
      </c>
      <c r="G35" s="19">
        <v>20260302</v>
      </c>
    </row>
    <row r="36" spans="1:7" ht="13.5" thickBot="1">
      <c r="A36" s="20" t="s">
        <v>74</v>
      </c>
      <c r="B36" s="21"/>
      <c r="C36" s="21"/>
      <c r="D36" s="21">
        <v>4403772</v>
      </c>
      <c r="E36" s="21">
        <v>124164736</v>
      </c>
      <c r="F36" s="21"/>
      <c r="G36" s="21"/>
    </row>
    <row r="37" spans="1:7" ht="13.5" customHeight="1">
      <c r="A37" s="8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5C2A9-60F3-4923-8924-B73811A655D5}">
  <dimension ref="A1:G37"/>
  <sheetViews>
    <sheetView workbookViewId="0">
      <selection activeCell="J48" sqref="J48"/>
    </sheetView>
  </sheetViews>
  <sheetFormatPr defaultRowHeight="12.5"/>
  <cols>
    <col min="1" max="1" width="11.54296875" style="51" customWidth="1"/>
    <col min="2" max="2" width="30" bestFit="1" customWidth="1"/>
    <col min="3" max="3" width="7.453125" bestFit="1" customWidth="1"/>
    <col min="4" max="4" width="9.453125" bestFit="1" customWidth="1"/>
    <col min="5" max="5" width="11.1796875" bestFit="1" customWidth="1"/>
    <col min="6" max="6" width="9.453125" bestFit="1" customWidth="1"/>
    <col min="7" max="7" width="18.08984375" bestFit="1" customWidth="1"/>
    <col min="11" max="11" width="10.26953125" bestFit="1" customWidth="1"/>
  </cols>
  <sheetData>
    <row r="1" spans="1:7" ht="15" thickBot="1">
      <c r="A1" s="49" t="s">
        <v>80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</row>
    <row r="2" spans="1:7" s="52" customFormat="1" ht="13.5" thickBot="1">
      <c r="A2" s="50">
        <v>2</v>
      </c>
      <c r="B2" s="47" t="s">
        <v>8</v>
      </c>
      <c r="C2" s="47" t="s">
        <v>9</v>
      </c>
      <c r="D2" s="47">
        <v>32009</v>
      </c>
      <c r="E2" s="47">
        <v>3995495</v>
      </c>
      <c r="F2" s="48">
        <v>202603</v>
      </c>
      <c r="G2" s="48">
        <v>20260401</v>
      </c>
    </row>
    <row r="3" spans="1:7" s="52" customFormat="1" ht="13.5" thickBot="1">
      <c r="A3" s="50">
        <v>3</v>
      </c>
      <c r="B3" s="47" t="s">
        <v>13</v>
      </c>
      <c r="C3" s="47" t="s">
        <v>9</v>
      </c>
      <c r="D3" s="47">
        <v>129415</v>
      </c>
      <c r="E3" s="47">
        <v>2291510</v>
      </c>
      <c r="F3" s="48">
        <v>202603</v>
      </c>
      <c r="G3" s="48">
        <v>20260401</v>
      </c>
    </row>
    <row r="4" spans="1:7" s="52" customFormat="1" ht="13.5" thickBot="1">
      <c r="A4" s="50">
        <v>4</v>
      </c>
      <c r="B4" s="47" t="s">
        <v>15</v>
      </c>
      <c r="C4" s="47" t="s">
        <v>9</v>
      </c>
      <c r="D4" s="47">
        <v>67480</v>
      </c>
      <c r="E4" s="47">
        <v>2396167</v>
      </c>
      <c r="F4" s="48">
        <v>202603</v>
      </c>
      <c r="G4" s="48">
        <v>20260401</v>
      </c>
    </row>
    <row r="5" spans="1:7" s="52" customFormat="1" ht="13.5" thickBot="1">
      <c r="A5" s="50">
        <v>5</v>
      </c>
      <c r="B5" s="47" t="s">
        <v>17</v>
      </c>
      <c r="C5" s="47" t="s">
        <v>9</v>
      </c>
      <c r="D5" s="47">
        <v>95228</v>
      </c>
      <c r="E5" s="47">
        <v>2727157</v>
      </c>
      <c r="F5" s="48">
        <v>202603</v>
      </c>
      <c r="G5" s="48">
        <v>20260401</v>
      </c>
    </row>
    <row r="6" spans="1:7" s="52" customFormat="1" ht="13.5" thickBot="1">
      <c r="A6" s="50">
        <v>6</v>
      </c>
      <c r="B6" s="47" t="s">
        <v>19</v>
      </c>
      <c r="C6" s="47" t="s">
        <v>9</v>
      </c>
      <c r="D6" s="47">
        <v>7280</v>
      </c>
      <c r="E6" s="47">
        <v>383646</v>
      </c>
      <c r="F6" s="48">
        <v>202603</v>
      </c>
      <c r="G6" s="48">
        <v>20260401</v>
      </c>
    </row>
    <row r="7" spans="1:7" s="52" customFormat="1" ht="13.5" thickBot="1">
      <c r="A7" s="50">
        <v>7</v>
      </c>
      <c r="B7" s="47" t="s">
        <v>21</v>
      </c>
      <c r="C7" s="47" t="s">
        <v>9</v>
      </c>
      <c r="D7" s="47">
        <v>117615</v>
      </c>
      <c r="E7" s="47">
        <v>2745428</v>
      </c>
      <c r="F7" s="48">
        <v>202603</v>
      </c>
      <c r="G7" s="48">
        <v>20260401</v>
      </c>
    </row>
    <row r="8" spans="1:7" s="52" customFormat="1" ht="13.5" thickBot="1">
      <c r="A8" s="50">
        <v>8</v>
      </c>
      <c r="B8" s="47" t="s">
        <v>23</v>
      </c>
      <c r="C8" s="47" t="s">
        <v>9</v>
      </c>
      <c r="D8" s="47">
        <v>45702</v>
      </c>
      <c r="E8" s="47">
        <v>1642960</v>
      </c>
      <c r="F8" s="48">
        <v>202603</v>
      </c>
      <c r="G8" s="48">
        <v>20260401</v>
      </c>
    </row>
    <row r="9" spans="1:7" s="52" customFormat="1" ht="13.5" thickBot="1">
      <c r="A9" s="50" t="s">
        <v>24</v>
      </c>
      <c r="B9" s="47" t="s">
        <v>25</v>
      </c>
      <c r="C9" s="47" t="s">
        <v>9</v>
      </c>
      <c r="D9" s="47">
        <v>75260</v>
      </c>
      <c r="E9" s="47">
        <v>2429852</v>
      </c>
      <c r="F9" s="48">
        <v>202603</v>
      </c>
      <c r="G9" s="48">
        <v>20260401</v>
      </c>
    </row>
    <row r="10" spans="1:7" s="52" customFormat="1" ht="13.5" thickBot="1">
      <c r="A10" s="50" t="s">
        <v>26</v>
      </c>
      <c r="B10" s="47" t="s">
        <v>27</v>
      </c>
      <c r="C10" s="47" t="s">
        <v>9</v>
      </c>
      <c r="D10" s="47">
        <v>16200</v>
      </c>
      <c r="E10" s="47">
        <v>359370</v>
      </c>
      <c r="F10" s="48">
        <v>202603</v>
      </c>
      <c r="G10" s="48">
        <v>20260401</v>
      </c>
    </row>
    <row r="11" spans="1:7" s="52" customFormat="1" ht="13.5" thickBot="1">
      <c r="A11" s="50" t="s">
        <v>28</v>
      </c>
      <c r="B11" s="47" t="s">
        <v>29</v>
      </c>
      <c r="C11" s="47" t="s">
        <v>9</v>
      </c>
      <c r="D11" s="47">
        <v>47479</v>
      </c>
      <c r="E11" s="47">
        <v>1817167</v>
      </c>
      <c r="F11" s="48">
        <v>202603</v>
      </c>
      <c r="G11" s="48">
        <v>20260401</v>
      </c>
    </row>
    <row r="12" spans="1:7" s="52" customFormat="1" ht="13.5" thickBot="1">
      <c r="A12" s="50" t="s">
        <v>30</v>
      </c>
      <c r="B12" s="47" t="s">
        <v>31</v>
      </c>
      <c r="C12" s="47" t="s">
        <v>32</v>
      </c>
      <c r="D12" s="47">
        <v>1125326</v>
      </c>
      <c r="E12" s="47">
        <v>26796560</v>
      </c>
      <c r="F12" s="48">
        <v>202603</v>
      </c>
      <c r="G12" s="48">
        <v>20260401</v>
      </c>
    </row>
    <row r="13" spans="1:7" s="52" customFormat="1" ht="13.5" thickBot="1">
      <c r="A13" s="50" t="s">
        <v>30</v>
      </c>
      <c r="B13" s="47" t="s">
        <v>31</v>
      </c>
      <c r="C13" s="47" t="s">
        <v>9</v>
      </c>
      <c r="D13" s="47">
        <v>3445272</v>
      </c>
      <c r="E13" s="47">
        <v>87449008</v>
      </c>
      <c r="F13" s="48">
        <v>202603</v>
      </c>
      <c r="G13" s="48">
        <v>20260401</v>
      </c>
    </row>
    <row r="14" spans="1:7" s="52" customFormat="1" ht="13.5" thickBot="1">
      <c r="A14" s="50">
        <v>10</v>
      </c>
      <c r="B14" s="47" t="s">
        <v>34</v>
      </c>
      <c r="C14" s="47" t="s">
        <v>9</v>
      </c>
      <c r="D14" s="47">
        <v>154037</v>
      </c>
      <c r="E14" s="47">
        <v>5088517</v>
      </c>
      <c r="F14" s="48">
        <v>202603</v>
      </c>
      <c r="G14" s="48">
        <v>20260401</v>
      </c>
    </row>
    <row r="15" spans="1:7" s="52" customFormat="1" ht="13.5" thickBot="1">
      <c r="A15" s="50">
        <v>11</v>
      </c>
      <c r="B15" s="47" t="s">
        <v>36</v>
      </c>
      <c r="C15" s="47" t="s">
        <v>9</v>
      </c>
      <c r="D15" s="47">
        <v>486895</v>
      </c>
      <c r="E15" s="47">
        <v>12238578</v>
      </c>
      <c r="F15" s="48">
        <v>202603</v>
      </c>
      <c r="G15" s="48">
        <v>20260401</v>
      </c>
    </row>
    <row r="16" spans="1:7" s="52" customFormat="1" ht="13.5" thickBot="1">
      <c r="A16" s="50">
        <v>12</v>
      </c>
      <c r="B16" s="47" t="s">
        <v>38</v>
      </c>
      <c r="C16" s="47" t="s">
        <v>9</v>
      </c>
      <c r="D16" s="47">
        <v>130568</v>
      </c>
      <c r="E16" s="47">
        <v>4621896</v>
      </c>
      <c r="F16" s="48">
        <v>202603</v>
      </c>
      <c r="G16" s="48">
        <v>20260401</v>
      </c>
    </row>
    <row r="17" spans="1:7" s="52" customFormat="1" ht="13.5" thickBot="1">
      <c r="A17" s="50">
        <v>13</v>
      </c>
      <c r="B17" s="47" t="s">
        <v>40</v>
      </c>
      <c r="C17" s="47" t="s">
        <v>32</v>
      </c>
      <c r="D17" s="47">
        <v>0</v>
      </c>
      <c r="E17" s="47">
        <v>0</v>
      </c>
      <c r="F17" s="48">
        <v>202603</v>
      </c>
      <c r="G17" s="48">
        <v>20260401</v>
      </c>
    </row>
    <row r="18" spans="1:7" s="52" customFormat="1" ht="13.5" thickBot="1">
      <c r="A18" s="50">
        <v>13</v>
      </c>
      <c r="B18" s="47" t="s">
        <v>40</v>
      </c>
      <c r="C18" s="47" t="s">
        <v>9</v>
      </c>
      <c r="D18" s="47">
        <v>1132745</v>
      </c>
      <c r="E18" s="47">
        <v>38511606</v>
      </c>
      <c r="F18" s="48">
        <v>202603</v>
      </c>
      <c r="G18" s="48">
        <v>20260401</v>
      </c>
    </row>
    <row r="19" spans="1:7" s="52" customFormat="1" ht="13.5" thickBot="1">
      <c r="A19" s="50">
        <v>14</v>
      </c>
      <c r="B19" s="47" t="s">
        <v>42</v>
      </c>
      <c r="C19" s="47" t="s">
        <v>9</v>
      </c>
      <c r="D19" s="47">
        <v>112934</v>
      </c>
      <c r="E19" s="47">
        <v>2953274</v>
      </c>
      <c r="F19" s="48">
        <v>202603</v>
      </c>
      <c r="G19" s="48">
        <v>20260401</v>
      </c>
    </row>
    <row r="20" spans="1:7" s="52" customFormat="1" ht="13.5" thickBot="1">
      <c r="A20" s="50">
        <v>15</v>
      </c>
      <c r="B20" s="47" t="s">
        <v>44</v>
      </c>
      <c r="C20" s="47" t="s">
        <v>9</v>
      </c>
      <c r="D20" s="47">
        <v>117168</v>
      </c>
      <c r="E20" s="47">
        <v>3136000</v>
      </c>
      <c r="F20" s="48">
        <v>202603</v>
      </c>
      <c r="G20" s="48">
        <v>20260401</v>
      </c>
    </row>
    <row r="21" spans="1:7" s="52" customFormat="1" ht="13.5" thickBot="1">
      <c r="A21" s="50">
        <v>16</v>
      </c>
      <c r="B21" s="47" t="s">
        <v>46</v>
      </c>
      <c r="C21" s="47" t="s">
        <v>9</v>
      </c>
      <c r="D21" s="47">
        <v>7678</v>
      </c>
      <c r="E21" s="47">
        <v>355529</v>
      </c>
      <c r="F21" s="48">
        <v>202603</v>
      </c>
      <c r="G21" s="48">
        <v>20260401</v>
      </c>
    </row>
    <row r="22" spans="1:7" s="52" customFormat="1" ht="13.5" thickBot="1">
      <c r="A22" s="50">
        <v>17</v>
      </c>
      <c r="B22" s="47" t="s">
        <v>48</v>
      </c>
      <c r="C22" s="47" t="s">
        <v>9</v>
      </c>
      <c r="D22" s="47">
        <v>9848</v>
      </c>
      <c r="E22" s="47">
        <v>336064</v>
      </c>
      <c r="F22" s="48">
        <v>202603</v>
      </c>
      <c r="G22" s="48">
        <v>20260401</v>
      </c>
    </row>
    <row r="23" spans="1:7" s="52" customFormat="1" ht="13.5" thickBot="1">
      <c r="A23" s="50">
        <v>18</v>
      </c>
      <c r="B23" s="47" t="s">
        <v>50</v>
      </c>
      <c r="C23" s="47" t="s">
        <v>9</v>
      </c>
      <c r="D23" s="47">
        <v>41934</v>
      </c>
      <c r="E23" s="47">
        <v>1125717</v>
      </c>
      <c r="F23" s="48">
        <v>202603</v>
      </c>
      <c r="G23" s="48">
        <v>20260401</v>
      </c>
    </row>
    <row r="24" spans="1:7" s="52" customFormat="1" ht="13.5" thickBot="1">
      <c r="A24" s="50" t="s">
        <v>51</v>
      </c>
      <c r="B24" s="47" t="s">
        <v>52</v>
      </c>
      <c r="C24" s="47" t="s">
        <v>9</v>
      </c>
      <c r="D24" s="47">
        <v>11212</v>
      </c>
      <c r="E24" s="47">
        <v>532645</v>
      </c>
      <c r="F24" s="48">
        <v>202603</v>
      </c>
      <c r="G24" s="48">
        <v>20260401</v>
      </c>
    </row>
    <row r="25" spans="1:7" s="52" customFormat="1" ht="13.5" thickBot="1">
      <c r="A25" s="50" t="s">
        <v>53</v>
      </c>
      <c r="B25" s="47" t="s">
        <v>54</v>
      </c>
      <c r="C25" s="47" t="s">
        <v>9</v>
      </c>
      <c r="D25" s="47">
        <v>1648</v>
      </c>
      <c r="E25" s="47">
        <v>93280</v>
      </c>
      <c r="F25" s="48">
        <v>202603</v>
      </c>
      <c r="G25" s="48">
        <v>20260401</v>
      </c>
    </row>
    <row r="26" spans="1:7" s="52" customFormat="1" ht="13.5" thickBot="1">
      <c r="A26" s="50" t="s">
        <v>55</v>
      </c>
      <c r="B26" s="47" t="s">
        <v>56</v>
      </c>
      <c r="C26" s="47" t="s">
        <v>9</v>
      </c>
      <c r="D26" s="47">
        <v>13230</v>
      </c>
      <c r="E26" s="47">
        <v>640588</v>
      </c>
      <c r="F26" s="48">
        <v>202603</v>
      </c>
      <c r="G26" s="48">
        <v>20260401</v>
      </c>
    </row>
    <row r="27" spans="1:7" s="52" customFormat="1" ht="13.5" thickBot="1">
      <c r="A27" s="50" t="s">
        <v>57</v>
      </c>
      <c r="B27" s="47" t="s">
        <v>58</v>
      </c>
      <c r="C27" s="47" t="s">
        <v>9</v>
      </c>
      <c r="D27" s="47">
        <v>17975</v>
      </c>
      <c r="E27" s="47">
        <v>511730</v>
      </c>
      <c r="F27" s="48">
        <v>202603</v>
      </c>
      <c r="G27" s="48">
        <v>20260401</v>
      </c>
    </row>
    <row r="28" spans="1:7" s="52" customFormat="1" ht="13.5" thickBot="1">
      <c r="A28" s="50" t="s">
        <v>59</v>
      </c>
      <c r="B28" s="47" t="s">
        <v>60</v>
      </c>
      <c r="C28" s="47" t="s">
        <v>9</v>
      </c>
      <c r="D28" s="47">
        <v>19529</v>
      </c>
      <c r="E28" s="47">
        <v>301037</v>
      </c>
      <c r="F28" s="48">
        <v>202603</v>
      </c>
      <c r="G28" s="48">
        <v>20260401</v>
      </c>
    </row>
    <row r="29" spans="1:7" s="52" customFormat="1" ht="13.5" thickBot="1">
      <c r="A29" s="50">
        <v>20</v>
      </c>
      <c r="B29" s="47" t="s">
        <v>62</v>
      </c>
      <c r="C29" s="47" t="s">
        <v>9</v>
      </c>
      <c r="D29" s="47">
        <v>4124</v>
      </c>
      <c r="E29" s="47">
        <v>911106</v>
      </c>
      <c r="F29" s="48">
        <v>202603</v>
      </c>
      <c r="G29" s="48">
        <v>20260401</v>
      </c>
    </row>
    <row r="30" spans="1:7" s="52" customFormat="1" ht="13.5" thickBot="1">
      <c r="A30" s="50">
        <v>21</v>
      </c>
      <c r="B30" s="47" t="s">
        <v>64</v>
      </c>
      <c r="C30" s="47" t="s">
        <v>9</v>
      </c>
      <c r="D30" s="47">
        <v>550</v>
      </c>
      <c r="E30" s="47">
        <v>23481</v>
      </c>
      <c r="F30" s="48">
        <v>202603</v>
      </c>
      <c r="G30" s="48">
        <v>20260401</v>
      </c>
    </row>
    <row r="31" spans="1:7" s="52" customFormat="1" ht="13.5" thickBot="1">
      <c r="A31" s="50">
        <v>22</v>
      </c>
      <c r="B31" s="47" t="s">
        <v>66</v>
      </c>
      <c r="C31" s="47" t="s">
        <v>9</v>
      </c>
      <c r="D31" s="47">
        <v>87</v>
      </c>
      <c r="E31" s="47">
        <v>28761</v>
      </c>
      <c r="F31" s="48">
        <v>202603</v>
      </c>
      <c r="G31" s="48">
        <v>20260401</v>
      </c>
    </row>
    <row r="32" spans="1:7" s="52" customFormat="1" ht="13.5" thickBot="1">
      <c r="A32" s="50">
        <v>23</v>
      </c>
      <c r="B32" s="47" t="s">
        <v>68</v>
      </c>
      <c r="C32" s="47" t="s">
        <v>9</v>
      </c>
      <c r="D32" s="47">
        <v>14559</v>
      </c>
      <c r="E32" s="47">
        <v>388182</v>
      </c>
      <c r="F32" s="48">
        <v>202603</v>
      </c>
      <c r="G32" s="48">
        <v>20260401</v>
      </c>
    </row>
    <row r="33" spans="1:7" s="52" customFormat="1" ht="13.5" thickBot="1">
      <c r="A33" s="50">
        <v>25</v>
      </c>
      <c r="B33" s="47" t="s">
        <v>78</v>
      </c>
      <c r="C33" s="47" t="s">
        <v>9</v>
      </c>
      <c r="D33" s="47">
        <v>6490</v>
      </c>
      <c r="E33" s="47">
        <v>239128</v>
      </c>
      <c r="F33" s="48">
        <v>202603</v>
      </c>
      <c r="G33" s="48">
        <v>20260401</v>
      </c>
    </row>
    <row r="34" spans="1:7" s="52" customFormat="1" ht="13.5" thickBot="1">
      <c r="A34" s="50">
        <v>26</v>
      </c>
      <c r="B34" s="47" t="s">
        <v>77</v>
      </c>
      <c r="C34" s="47" t="s">
        <v>9</v>
      </c>
      <c r="D34" s="47">
        <v>69683</v>
      </c>
      <c r="E34" s="47">
        <v>3288319</v>
      </c>
      <c r="F34" s="48">
        <v>202603</v>
      </c>
      <c r="G34" s="48">
        <v>20260401</v>
      </c>
    </row>
    <row r="35" spans="1:7" s="52" customFormat="1" ht="13.5" thickBot="1">
      <c r="A35" s="50">
        <v>27</v>
      </c>
      <c r="B35" s="47" t="s">
        <v>79</v>
      </c>
      <c r="C35" s="47" t="s">
        <v>9</v>
      </c>
      <c r="D35" s="47">
        <v>11567</v>
      </c>
      <c r="E35" s="47">
        <v>508547</v>
      </c>
      <c r="F35" s="48">
        <v>202603</v>
      </c>
      <c r="G35" s="48">
        <v>20260401</v>
      </c>
    </row>
    <row r="36" spans="1:7" ht="13.5" thickBot="1">
      <c r="A36" s="55" t="s">
        <v>74</v>
      </c>
      <c r="B36" s="53"/>
      <c r="C36" s="53"/>
      <c r="D36" s="53">
        <v>7568727</v>
      </c>
      <c r="E36" s="53">
        <v>210868305</v>
      </c>
      <c r="F36" s="54"/>
      <c r="G36" s="54"/>
    </row>
    <row r="37" spans="1:7" ht="14.5">
      <c r="A37" s="8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113 12</vt:lpstr>
      <vt:lpstr>11403</vt:lpstr>
      <vt:lpstr>11404</vt:lpstr>
      <vt:lpstr>11405</vt:lpstr>
      <vt:lpstr>11406</vt:lpstr>
      <vt:lpstr>11407</vt:lpstr>
      <vt:lpstr>11408</vt:lpstr>
      <vt:lpstr>11411</vt:lpstr>
      <vt:lpstr>11412</vt:lpstr>
      <vt:lpstr>11501</vt:lpstr>
      <vt:lpstr>11502</vt:lpstr>
      <vt:lpstr>11503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宏奕</cp:lastModifiedBy>
  <dcterms:created xsi:type="dcterms:W3CDTF">2025-01-03T03:39:21Z</dcterms:created>
  <dcterms:modified xsi:type="dcterms:W3CDTF">2026-04-01T07:48:55Z</dcterms:modified>
</cp:coreProperties>
</file>